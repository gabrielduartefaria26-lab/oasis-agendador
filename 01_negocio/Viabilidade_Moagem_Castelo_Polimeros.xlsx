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 e Resultado" sheetId="1" state="visible" r:id="rId3"/>
    <sheet name="Sensibilidade" sheetId="2" state="visible" r:id="rId4"/>
    <sheet name="12 me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2" authorId="0">
      <text>
        <r>
          <rPr>
            <sz val="10"/>
            <rFont val="Arial"/>
            <family val="2"/>
          </rPr>
          <t xml:space="preserve">Começa com o investimento inicial negativo (mês 0) e soma o lucro de cada mês.</t>
        </r>
      </text>
    </comment>
  </commentList>
</comments>
</file>

<file path=xl/sharedStrings.xml><?xml version="1.0" encoding="utf-8"?>
<sst xmlns="http://schemas.openxmlformats.org/spreadsheetml/2006/main" count="87" uniqueCount="86">
  <si>
    <t xml:space="preserve">Viabilidade: serviço de moagem de aparas (Boituva-SP)</t>
  </si>
  <si>
    <t xml:space="preserve">Altere só as células AMARELAS com texto AZUL. O resto é calculado. Valores iniciais são estimativas para ponto de partida.</t>
  </si>
  <si>
    <t xml:space="preserve">1. Volume e preço</t>
  </si>
  <si>
    <t xml:space="preserve">Capacidade da máquina (t/dia)</t>
  </si>
  <si>
    <t xml:space="preserve">Informado pelo usuário: até 4 t/dia.</t>
  </si>
  <si>
    <t xml:space="preserve">Dias úteis por mês</t>
  </si>
  <si>
    <t xml:space="preserve">Sábados extras aumentam a capacidade.</t>
  </si>
  <si>
    <t xml:space="preserve">Capacidade máxima (t/mês)</t>
  </si>
  <si>
    <t xml:space="preserve">Volume contratado (t/mês)</t>
  </si>
  <si>
    <t xml:space="preserve">Quanto os clientes mandam por mês. O contato do pai fala em 100 t/mês.</t>
  </si>
  <si>
    <t xml:space="preserve">Volume processado (t/mês)</t>
  </si>
  <si>
    <t xml:space="preserve">Limitado à capacidade da máquina.</t>
  </si>
  <si>
    <t xml:space="preserve">Ocupação da máquina</t>
  </si>
  <si>
    <t xml:space="preserve">Preço do serviço (R$/kg)</t>
  </si>
  <si>
    <t xml:space="preserve">A DEFINIR: nenhum concorrente publica. Pedir orçamentos (Nicoplas, Flex, Gedel, Alassia).</t>
  </si>
  <si>
    <t xml:space="preserve">Impostos sobre faturamento (%)</t>
  </si>
  <si>
    <t xml:space="preserve">Estimativa (Simples Nacional, faixa inicial). Confirmar com contador.</t>
  </si>
  <si>
    <t xml:space="preserve">2. Custos variáveis (por tonelada)</t>
  </si>
  <si>
    <t xml:space="preserve">Energia consumida (kWh/t)</t>
  </si>
  <si>
    <t xml:space="preserve">Estimativa. Medir com a potência real dos motores do pai.</t>
  </si>
  <si>
    <t xml:space="preserve">Tarifa de energia (R$/kWh)</t>
  </si>
  <si>
    <t xml:space="preserve">Conferir na conta de luz industrial (CPFL/Elektro).</t>
  </si>
  <si>
    <t xml:space="preserve">Energia (R$/t)</t>
  </si>
  <si>
    <t xml:space="preserve">Facas e manutenção (R$/t)</t>
  </si>
  <si>
    <t xml:space="preserve">Estimativa. Fita e filme desgastam menos que rígido.</t>
  </si>
  <si>
    <t xml:space="preserve">Big bags por tonelada</t>
  </si>
  <si>
    <t xml:space="preserve">Fita picada é leve (volumosa): ~400–600 kg por bag.</t>
  </si>
  <si>
    <t xml:space="preserve">Preço do big bag (R$)</t>
  </si>
  <si>
    <t xml:space="preserve">Zere se o cliente fornecer o bag.</t>
  </si>
  <si>
    <t xml:space="preserve">Big bags (R$/t)</t>
  </si>
  <si>
    <t xml:space="preserve">Custo variável total (R$/t)</t>
  </si>
  <si>
    <t xml:space="preserve">3. Custos fixos (por mês)</t>
  </si>
  <si>
    <t xml:space="preserve">Número de funcionários</t>
  </si>
  <si>
    <t xml:space="preserve">Alimentador, operador de saída, empilhadeirista, líder.</t>
  </si>
  <si>
    <t xml:space="preserve">Custo por funcionário (R$/mês)</t>
  </si>
  <si>
    <t xml:space="preserve">Salário + encargos + benefícios. Estimativa.</t>
  </si>
  <si>
    <t xml:space="preserve">Mão de obra (R$/mês)</t>
  </si>
  <si>
    <t xml:space="preserve">Galpão (R$/mês)</t>
  </si>
  <si>
    <t xml:space="preserve">Zere se o galpão for próprio.</t>
  </si>
  <si>
    <t xml:space="preserve">Empilhadeira (R$/mês)</t>
  </si>
  <si>
    <t xml:space="preserve">Aluguel. Se comprar usada, zere aqui e coloque no investimento.</t>
  </si>
  <si>
    <t xml:space="preserve">Contador, seguro, licenças, internet etc. (R$/mês)</t>
  </si>
  <si>
    <t xml:space="preserve">Estimativa.</t>
  </si>
  <si>
    <t xml:space="preserve">Pró-labore dos sócios (R$/mês)</t>
  </si>
  <si>
    <t xml:space="preserve">Quanto vocês dois vão tirar. Começa em zero.</t>
  </si>
  <si>
    <t xml:space="preserve">Custo fixo total (R$/mês)</t>
  </si>
  <si>
    <t xml:space="preserve">4. Investimento inicial</t>
  </si>
  <si>
    <t xml:space="preserve">Adequação NR-12 das máquinas (R$)</t>
  </si>
  <si>
    <t xml:space="preserve">Proteções, intertravamento, emergência, laudo. Estimativa: cotar.</t>
  </si>
  <si>
    <t xml:space="preserve">Licenças, CETESB, AVCB, abertura (R$)</t>
  </si>
  <si>
    <t xml:space="preserve">Estimativa: cotar com despachante/consultoria ambiental.</t>
  </si>
  <si>
    <t xml:space="preserve">Balança e instalação elétrica (R$)</t>
  </si>
  <si>
    <t xml:space="preserve">Capital de giro (R$)</t>
  </si>
  <si>
    <t xml:space="preserve">Para pagar ~2 meses de custos antes de receber.</t>
  </si>
  <si>
    <t xml:space="preserve">Investimento total (R$)</t>
  </si>
  <si>
    <t xml:space="preserve">Máquinas do pai não entram (já existem).</t>
  </si>
  <si>
    <t xml:space="preserve">5. Resultado mensal</t>
  </si>
  <si>
    <t xml:space="preserve">Faturamento bruto (R$/mês)</t>
  </si>
  <si>
    <t xml:space="preserve">(-) Impostos (R$/mês)</t>
  </si>
  <si>
    <t xml:space="preserve">(-) Custos variáveis (R$/mês)</t>
  </si>
  <si>
    <t xml:space="preserve">(-) Custos fixos (R$/mês)</t>
  </si>
  <si>
    <t xml:space="preserve">LUCRO MENSAL (R$)</t>
  </si>
  <si>
    <t xml:space="preserve">Margem sobre faturamento</t>
  </si>
  <si>
    <t xml:space="preserve">Custo total por kg (R$/kg)</t>
  </si>
  <si>
    <t xml:space="preserve">Preço precisa ficar acima disto + impostos.</t>
  </si>
  <si>
    <t xml:space="preserve">Ponto de equilíbrio (t/mês)</t>
  </si>
  <si>
    <t xml:space="preserve">Volume mínimo por mês para não ter prejuízo.</t>
  </si>
  <si>
    <t xml:space="preserve">Preço mínimo no volume atual (R$/kg)</t>
  </si>
  <si>
    <t xml:space="preserve">Abaixo disto, dá prejuízo no volume informado.</t>
  </si>
  <si>
    <t xml:space="preserve">Retorno do investimento (meses)</t>
  </si>
  <si>
    <t xml:space="preserve">Zero = não se paga (lucro negativo).</t>
  </si>
  <si>
    <t xml:space="preserve">Lucro mensal (R$) por preço × volume</t>
  </si>
  <si>
    <t xml:space="preserve">Usa custos da aba 'Premissas e Resultado'. Vermelho = prejuízo. Volume acima da capacidade é limitado à capacidade.</t>
  </si>
  <si>
    <t xml:space="preserve">Volume (t/mês) ↓   Preço (R$/kg) →</t>
  </si>
  <si>
    <t xml:space="preserve">Projeção de 12 meses (ano de prestação de serviço)</t>
  </si>
  <si>
    <t xml:space="preserve">Linha amarela = volume esperado em cada mês (rampa de clientes). Preço e custos vêm da aba de premissas.</t>
  </si>
  <si>
    <t xml:space="preserve">Mês</t>
  </si>
  <si>
    <t xml:space="preserve">Volume (t/mês)</t>
  </si>
  <si>
    <t xml:space="preserve">Volume processado (t)</t>
  </si>
  <si>
    <t xml:space="preserve">Faturamento (R$)</t>
  </si>
  <si>
    <t xml:space="preserve">(-) Impostos</t>
  </si>
  <si>
    <t xml:space="preserve">(-) Variáveis</t>
  </si>
  <si>
    <t xml:space="preserve">(-) Fixos</t>
  </si>
  <si>
    <t xml:space="preserve">Lucro do mês (R$)</t>
  </si>
  <si>
    <t xml:space="preserve">Caixa acumulado (R$)</t>
  </si>
  <si>
    <t xml:space="preserve">Total do ano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</si>
</sst>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[RED]\-#,##0.0;\-"/>
    <numFmt numFmtId="166" formatCode="#,##0;[RED]\-#,##0;\-"/>
    <numFmt numFmtId="167" formatCode="0.0%;[RED]\-0.0%;\-"/>
    <numFmt numFmtId="168" formatCode="&quot;R$ &quot;#,##0.00;[RED]&quot;-R$ &quot;#,##0.00;\-"/>
    <numFmt numFmtId="169" formatCode="&quot;R$ &quot;#,##0;[RED]&quot;-R$ &quot;#,##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5"/>
      <c r="C4" s="5"/>
    </row>
    <row r="5" customFormat="false" ht="15" hidden="false" customHeight="false" outlineLevel="0" collapsed="false">
      <c r="A5" s="6" t="s">
        <v>3</v>
      </c>
      <c r="B5" s="7" t="n">
        <v>4</v>
      </c>
      <c r="C5" s="8" t="s">
        <v>4</v>
      </c>
    </row>
    <row r="6" customFormat="false" ht="15" hidden="false" customHeight="false" outlineLevel="0" collapsed="false">
      <c r="A6" s="6" t="s">
        <v>5</v>
      </c>
      <c r="B6" s="9" t="n">
        <v>22</v>
      </c>
      <c r="C6" s="8" t="s">
        <v>6</v>
      </c>
    </row>
    <row r="7" customFormat="false" ht="15" hidden="false" customHeight="false" outlineLevel="0" collapsed="false">
      <c r="A7" s="6" t="s">
        <v>7</v>
      </c>
      <c r="B7" s="10" t="n">
        <f aca="false">$B$5*$B$6</f>
        <v>88</v>
      </c>
      <c r="C7" s="8"/>
    </row>
    <row r="8" customFormat="false" ht="15" hidden="false" customHeight="false" outlineLevel="0" collapsed="false">
      <c r="A8" s="6" t="s">
        <v>8</v>
      </c>
      <c r="B8" s="7" t="n">
        <v>80</v>
      </c>
      <c r="C8" s="8" t="s">
        <v>9</v>
      </c>
    </row>
    <row r="9" customFormat="false" ht="15" hidden="false" customHeight="false" outlineLevel="0" collapsed="false">
      <c r="A9" s="6" t="s">
        <v>10</v>
      </c>
      <c r="B9" s="10" t="n">
        <f aca="false">MIN($B$8,$B$7)</f>
        <v>80</v>
      </c>
      <c r="C9" s="8" t="s">
        <v>11</v>
      </c>
    </row>
    <row r="10" customFormat="false" ht="15" hidden="false" customHeight="false" outlineLevel="0" collapsed="false">
      <c r="A10" s="6" t="s">
        <v>12</v>
      </c>
      <c r="B10" s="11" t="n">
        <f aca="false">IF($B$7&gt;0,$B$9/$B$7,0)</f>
        <v>0.909090909090909</v>
      </c>
      <c r="C10" s="8"/>
    </row>
    <row r="11" customFormat="false" ht="15" hidden="false" customHeight="false" outlineLevel="0" collapsed="false">
      <c r="A11" s="6" t="s">
        <v>13</v>
      </c>
      <c r="B11" s="12" t="n">
        <v>0.8</v>
      </c>
      <c r="C11" s="8" t="s">
        <v>14</v>
      </c>
    </row>
    <row r="12" customFormat="false" ht="15" hidden="false" customHeight="false" outlineLevel="0" collapsed="false">
      <c r="A12" s="6" t="s">
        <v>15</v>
      </c>
      <c r="B12" s="13" t="n">
        <v>0.1</v>
      </c>
      <c r="C12" s="8" t="s">
        <v>16</v>
      </c>
    </row>
    <row r="13" customFormat="false" ht="15" hidden="false" customHeight="false" outlineLevel="0" collapsed="false">
      <c r="A13" s="2"/>
      <c r="B13" s="2"/>
      <c r="C13" s="2"/>
    </row>
    <row r="14" customFormat="false" ht="15" hidden="false" customHeight="false" outlineLevel="0" collapsed="false">
      <c r="A14" s="4" t="s">
        <v>17</v>
      </c>
      <c r="B14" s="5"/>
      <c r="C14" s="5"/>
    </row>
    <row r="15" customFormat="false" ht="15" hidden="false" customHeight="false" outlineLevel="0" collapsed="false">
      <c r="A15" s="6" t="s">
        <v>18</v>
      </c>
      <c r="B15" s="9" t="n">
        <v>100</v>
      </c>
      <c r="C15" s="8" t="s">
        <v>19</v>
      </c>
    </row>
    <row r="16" customFormat="false" ht="15" hidden="false" customHeight="false" outlineLevel="0" collapsed="false">
      <c r="A16" s="6" t="s">
        <v>20</v>
      </c>
      <c r="B16" s="12" t="n">
        <v>0.8</v>
      </c>
      <c r="C16" s="8" t="s">
        <v>21</v>
      </c>
    </row>
    <row r="17" customFormat="false" ht="15" hidden="false" customHeight="false" outlineLevel="0" collapsed="false">
      <c r="A17" s="6" t="s">
        <v>22</v>
      </c>
      <c r="B17" s="14" t="n">
        <f aca="false">$B$15*$B$16</f>
        <v>80</v>
      </c>
      <c r="C17" s="8"/>
    </row>
    <row r="18" customFormat="false" ht="15" hidden="false" customHeight="false" outlineLevel="0" collapsed="false">
      <c r="A18" s="6" t="s">
        <v>23</v>
      </c>
      <c r="B18" s="15" t="n">
        <v>40</v>
      </c>
      <c r="C18" s="8" t="s">
        <v>24</v>
      </c>
    </row>
    <row r="19" customFormat="false" ht="15" hidden="false" customHeight="false" outlineLevel="0" collapsed="false">
      <c r="A19" s="6" t="s">
        <v>25</v>
      </c>
      <c r="B19" s="7" t="n">
        <v>2</v>
      </c>
      <c r="C19" s="8" t="s">
        <v>26</v>
      </c>
    </row>
    <row r="20" customFormat="false" ht="15" hidden="false" customHeight="false" outlineLevel="0" collapsed="false">
      <c r="A20" s="6" t="s">
        <v>27</v>
      </c>
      <c r="B20" s="15" t="n">
        <v>30</v>
      </c>
      <c r="C20" s="8" t="s">
        <v>28</v>
      </c>
    </row>
    <row r="21" customFormat="false" ht="15" hidden="false" customHeight="false" outlineLevel="0" collapsed="false">
      <c r="A21" s="6" t="s">
        <v>29</v>
      </c>
      <c r="B21" s="14" t="n">
        <f aca="false">$B$19*$B$20</f>
        <v>60</v>
      </c>
      <c r="C21" s="8"/>
    </row>
    <row r="22" customFormat="false" ht="15" hidden="false" customHeight="false" outlineLevel="0" collapsed="false">
      <c r="A22" s="16" t="s">
        <v>30</v>
      </c>
      <c r="B22" s="17" t="n">
        <f aca="false">$B$17+$B$18+$B$21</f>
        <v>180</v>
      </c>
      <c r="C22" s="8"/>
    </row>
    <row r="23" customFormat="false" ht="15" hidden="false" customHeight="false" outlineLevel="0" collapsed="false">
      <c r="A23" s="2"/>
      <c r="B23" s="2"/>
      <c r="C23" s="2"/>
    </row>
    <row r="24" customFormat="false" ht="15" hidden="false" customHeight="false" outlineLevel="0" collapsed="false">
      <c r="A24" s="4" t="s">
        <v>31</v>
      </c>
      <c r="B24" s="5"/>
      <c r="C24" s="5"/>
    </row>
    <row r="25" customFormat="false" ht="15" hidden="false" customHeight="false" outlineLevel="0" collapsed="false">
      <c r="A25" s="6" t="s">
        <v>32</v>
      </c>
      <c r="B25" s="9" t="n">
        <v>4</v>
      </c>
      <c r="C25" s="8" t="s">
        <v>33</v>
      </c>
    </row>
    <row r="26" customFormat="false" ht="15" hidden="false" customHeight="false" outlineLevel="0" collapsed="false">
      <c r="A26" s="6" t="s">
        <v>34</v>
      </c>
      <c r="B26" s="15" t="n">
        <v>4000</v>
      </c>
      <c r="C26" s="8" t="s">
        <v>35</v>
      </c>
    </row>
    <row r="27" customFormat="false" ht="15" hidden="false" customHeight="false" outlineLevel="0" collapsed="false">
      <c r="A27" s="6" t="s">
        <v>36</v>
      </c>
      <c r="B27" s="14" t="n">
        <f aca="false">$B$25*$B$26</f>
        <v>16000</v>
      </c>
      <c r="C27" s="8"/>
    </row>
    <row r="28" customFormat="false" ht="15" hidden="false" customHeight="false" outlineLevel="0" collapsed="false">
      <c r="A28" s="6" t="s">
        <v>37</v>
      </c>
      <c r="B28" s="15" t="n">
        <v>10000</v>
      </c>
      <c r="C28" s="8" t="s">
        <v>38</v>
      </c>
    </row>
    <row r="29" customFormat="false" ht="15" hidden="false" customHeight="false" outlineLevel="0" collapsed="false">
      <c r="A29" s="6" t="s">
        <v>39</v>
      </c>
      <c r="B29" s="15" t="n">
        <v>6000</v>
      </c>
      <c r="C29" s="8" t="s">
        <v>40</v>
      </c>
    </row>
    <row r="30" customFormat="false" ht="15" hidden="false" customHeight="false" outlineLevel="0" collapsed="false">
      <c r="A30" s="6" t="s">
        <v>41</v>
      </c>
      <c r="B30" s="15" t="n">
        <v>5000</v>
      </c>
      <c r="C30" s="8" t="s">
        <v>42</v>
      </c>
    </row>
    <row r="31" customFormat="false" ht="15" hidden="false" customHeight="false" outlineLevel="0" collapsed="false">
      <c r="A31" s="6" t="s">
        <v>43</v>
      </c>
      <c r="B31" s="15" t="n">
        <v>0</v>
      </c>
      <c r="C31" s="8" t="s">
        <v>44</v>
      </c>
    </row>
    <row r="32" customFormat="false" ht="15" hidden="false" customHeight="false" outlineLevel="0" collapsed="false">
      <c r="A32" s="16" t="s">
        <v>45</v>
      </c>
      <c r="B32" s="17" t="n">
        <f aca="false">$B$27+$B$28+$B$29+$B$30+$B$31</f>
        <v>37000</v>
      </c>
      <c r="C32" s="8"/>
    </row>
    <row r="33" customFormat="false" ht="15" hidden="false" customHeight="false" outlineLevel="0" collapsed="false">
      <c r="A33" s="2"/>
      <c r="B33" s="2"/>
      <c r="C33" s="2"/>
    </row>
    <row r="34" customFormat="false" ht="15" hidden="false" customHeight="false" outlineLevel="0" collapsed="false">
      <c r="A34" s="4" t="s">
        <v>46</v>
      </c>
      <c r="B34" s="5"/>
      <c r="C34" s="5"/>
    </row>
    <row r="35" customFormat="false" ht="15" hidden="false" customHeight="false" outlineLevel="0" collapsed="false">
      <c r="A35" s="6" t="s">
        <v>47</v>
      </c>
      <c r="B35" s="15" t="n">
        <v>25000</v>
      </c>
      <c r="C35" s="8" t="s">
        <v>48</v>
      </c>
    </row>
    <row r="36" customFormat="false" ht="15" hidden="false" customHeight="false" outlineLevel="0" collapsed="false">
      <c r="A36" s="6" t="s">
        <v>49</v>
      </c>
      <c r="B36" s="15" t="n">
        <v>15000</v>
      </c>
      <c r="C36" s="8" t="s">
        <v>50</v>
      </c>
    </row>
    <row r="37" customFormat="false" ht="15" hidden="false" customHeight="false" outlineLevel="0" collapsed="false">
      <c r="A37" s="6" t="s">
        <v>51</v>
      </c>
      <c r="B37" s="15" t="n">
        <v>20000</v>
      </c>
      <c r="C37" s="8" t="s">
        <v>42</v>
      </c>
    </row>
    <row r="38" customFormat="false" ht="15" hidden="false" customHeight="false" outlineLevel="0" collapsed="false">
      <c r="A38" s="6" t="s">
        <v>52</v>
      </c>
      <c r="B38" s="15" t="n">
        <v>40000</v>
      </c>
      <c r="C38" s="8" t="s">
        <v>53</v>
      </c>
    </row>
    <row r="39" customFormat="false" ht="15" hidden="false" customHeight="false" outlineLevel="0" collapsed="false">
      <c r="A39" s="16" t="s">
        <v>54</v>
      </c>
      <c r="B39" s="17" t="n">
        <f aca="false">$B$35+$B$36+$B$37+$B$38</f>
        <v>100000</v>
      </c>
      <c r="C39" s="8" t="s">
        <v>55</v>
      </c>
    </row>
    <row r="40" customFormat="false" ht="15" hidden="false" customHeight="false" outlineLevel="0" collapsed="false">
      <c r="A40" s="2"/>
      <c r="B40" s="2"/>
      <c r="C40" s="2"/>
    </row>
    <row r="41" customFormat="false" ht="15" hidden="false" customHeight="false" outlineLevel="0" collapsed="false">
      <c r="A41" s="4" t="s">
        <v>56</v>
      </c>
      <c r="B41" s="5"/>
      <c r="C41" s="5"/>
    </row>
    <row r="42" customFormat="false" ht="15" hidden="false" customHeight="false" outlineLevel="0" collapsed="false">
      <c r="A42" s="6" t="s">
        <v>57</v>
      </c>
      <c r="B42" s="14" t="n">
        <f aca="false">$B$9*1000*$B$11</f>
        <v>64000</v>
      </c>
      <c r="C42" s="8"/>
    </row>
    <row r="43" customFormat="false" ht="15" hidden="false" customHeight="false" outlineLevel="0" collapsed="false">
      <c r="A43" s="6" t="s">
        <v>58</v>
      </c>
      <c r="B43" s="14" t="n">
        <f aca="false">$B$42*$B$12</f>
        <v>6400</v>
      </c>
      <c r="C43" s="8"/>
    </row>
    <row r="44" customFormat="false" ht="15" hidden="false" customHeight="false" outlineLevel="0" collapsed="false">
      <c r="A44" s="6" t="s">
        <v>59</v>
      </c>
      <c r="B44" s="14" t="n">
        <f aca="false">$B$9*$B$22</f>
        <v>14400</v>
      </c>
      <c r="C44" s="8"/>
    </row>
    <row r="45" customFormat="false" ht="15" hidden="false" customHeight="false" outlineLevel="0" collapsed="false">
      <c r="A45" s="6" t="s">
        <v>60</v>
      </c>
      <c r="B45" s="14" t="n">
        <f aca="false">$B$32</f>
        <v>37000</v>
      </c>
      <c r="C45" s="8"/>
    </row>
    <row r="46" customFormat="false" ht="15" hidden="false" customHeight="false" outlineLevel="0" collapsed="false">
      <c r="A46" s="16" t="s">
        <v>61</v>
      </c>
      <c r="B46" s="18" t="n">
        <f aca="false">$B$42-$B$43-$B$44-$B$45</f>
        <v>6200</v>
      </c>
      <c r="C46" s="8"/>
    </row>
    <row r="47" customFormat="false" ht="15" hidden="false" customHeight="false" outlineLevel="0" collapsed="false">
      <c r="A47" s="6" t="s">
        <v>62</v>
      </c>
      <c r="B47" s="19" t="n">
        <f aca="false">IF($B$42&gt;0,$B$46/$B$42,0)</f>
        <v>0.096875</v>
      </c>
      <c r="C47" s="8"/>
    </row>
    <row r="48" customFormat="false" ht="15" hidden="false" customHeight="false" outlineLevel="0" collapsed="false">
      <c r="A48" s="6" t="s">
        <v>63</v>
      </c>
      <c r="B48" s="20" t="n">
        <f aca="false">IF($B$9&gt;0,($B$44+$B$45)/($B$9*1000),0)</f>
        <v>0.6425</v>
      </c>
      <c r="C48" s="8" t="s">
        <v>64</v>
      </c>
    </row>
    <row r="49" customFormat="false" ht="15" hidden="false" customHeight="false" outlineLevel="0" collapsed="false">
      <c r="A49" s="16" t="s">
        <v>65</v>
      </c>
      <c r="B49" s="21" t="n">
        <f aca="false">IF($B$11*1000*(1-$B$12)-$B$22&gt;0,$B$32/($B$11*1000*(1-$B$12)-$B$22),0)</f>
        <v>68.5185185185185</v>
      </c>
      <c r="C49" s="8" t="s">
        <v>66</v>
      </c>
    </row>
    <row r="50" customFormat="false" ht="15" hidden="false" customHeight="false" outlineLevel="0" collapsed="false">
      <c r="A50" s="16" t="s">
        <v>67</v>
      </c>
      <c r="B50" s="22" t="n">
        <f aca="false">IF($B$9&gt;0,($B$32/$B$9+$B$22)/1000/(1-$B$12),0)</f>
        <v>0.713888888888889</v>
      </c>
      <c r="C50" s="8" t="s">
        <v>68</v>
      </c>
    </row>
    <row r="51" customFormat="false" ht="15" hidden="false" customHeight="false" outlineLevel="0" collapsed="false">
      <c r="A51" s="6" t="s">
        <v>69</v>
      </c>
      <c r="B51" s="23" t="n">
        <f aca="false">IF($B$46&gt;0,$B$39/$B$46,0)</f>
        <v>16.1290322580645</v>
      </c>
      <c r="C51" s="8" t="s">
        <v>70</v>
      </c>
    </row>
  </sheetData>
  <conditionalFormatting sqref="B46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3"/>
  </cols>
  <sheetData>
    <row r="1" customFormat="false" ht="17.35" hidden="false" customHeight="false" outlineLevel="0" collapsed="false">
      <c r="A1" s="1" t="s">
        <v>71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72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6" t="s">
        <v>73</v>
      </c>
      <c r="B4" s="12" t="n">
        <v>0.4</v>
      </c>
      <c r="C4" s="12" t="n">
        <v>0.5</v>
      </c>
      <c r="D4" s="12" t="n">
        <v>0.6</v>
      </c>
      <c r="E4" s="12" t="n">
        <v>0.7</v>
      </c>
      <c r="F4" s="12" t="n">
        <v>0.8</v>
      </c>
      <c r="G4" s="12" t="n">
        <v>0.9</v>
      </c>
      <c r="H4" s="12" t="n">
        <v>1</v>
      </c>
      <c r="I4" s="12" t="n">
        <v>1.2</v>
      </c>
    </row>
    <row r="5" customFormat="false" ht="15" hidden="false" customHeight="false" outlineLevel="0" collapsed="false">
      <c r="A5" s="9" t="n">
        <v>20</v>
      </c>
      <c r="B5" s="24" t="n">
        <f aca="false">MIN($A5,'Premissas e Resultado'!$B$7)*1000*B$4*(1-'Premissas e Resultado'!$B$12)-MIN($A5,'Premissas e Resultado'!$B$7)*'Premissas e Resultado'!$B$22-'Premissas e Resultado'!$B$32</f>
        <v>-33400</v>
      </c>
      <c r="C5" s="24" t="n">
        <f aca="false">MIN($A5,'Premissas e Resultado'!$B$7)*1000*C$4*(1-'Premissas e Resultado'!$B$12)-MIN($A5,'Premissas e Resultado'!$B$7)*'Premissas e Resultado'!$B$22-'Premissas e Resultado'!$B$32</f>
        <v>-31600</v>
      </c>
      <c r="D5" s="24" t="n">
        <f aca="false">MIN($A5,'Premissas e Resultado'!$B$7)*1000*D$4*(1-'Premissas e Resultado'!$B$12)-MIN($A5,'Premissas e Resultado'!$B$7)*'Premissas e Resultado'!$B$22-'Premissas e Resultado'!$B$32</f>
        <v>-29800</v>
      </c>
      <c r="E5" s="24" t="n">
        <f aca="false">MIN($A5,'Premissas e Resultado'!$B$7)*1000*E$4*(1-'Premissas e Resultado'!$B$12)-MIN($A5,'Premissas e Resultado'!$B$7)*'Premissas e Resultado'!$B$22-'Premissas e Resultado'!$B$32</f>
        <v>-28000</v>
      </c>
      <c r="F5" s="24" t="n">
        <f aca="false">MIN($A5,'Premissas e Resultado'!$B$7)*1000*F$4*(1-'Premissas e Resultado'!$B$12)-MIN($A5,'Premissas e Resultado'!$B$7)*'Premissas e Resultado'!$B$22-'Premissas e Resultado'!$B$32</f>
        <v>-26200</v>
      </c>
      <c r="G5" s="24" t="n">
        <f aca="false">MIN($A5,'Premissas e Resultado'!$B$7)*1000*G$4*(1-'Premissas e Resultado'!$B$12)-MIN($A5,'Premissas e Resultado'!$B$7)*'Premissas e Resultado'!$B$22-'Premissas e Resultado'!$B$32</f>
        <v>-24400</v>
      </c>
      <c r="H5" s="24" t="n">
        <f aca="false">MIN($A5,'Premissas e Resultado'!$B$7)*1000*H$4*(1-'Premissas e Resultado'!$B$12)-MIN($A5,'Premissas e Resultado'!$B$7)*'Premissas e Resultado'!$B$22-'Premissas e Resultado'!$B$32</f>
        <v>-22600</v>
      </c>
      <c r="I5" s="24" t="n">
        <f aca="false">MIN($A5,'Premissas e Resultado'!$B$7)*1000*I$4*(1-'Premissas e Resultado'!$B$12)-MIN($A5,'Premissas e Resultado'!$B$7)*'Premissas e Resultado'!$B$22-'Premissas e Resultado'!$B$32</f>
        <v>-19000</v>
      </c>
    </row>
    <row r="6" customFormat="false" ht="15" hidden="false" customHeight="false" outlineLevel="0" collapsed="false">
      <c r="A6" s="9" t="n">
        <v>30</v>
      </c>
      <c r="B6" s="24" t="n">
        <f aca="false">MIN($A6,'Premissas e Resultado'!$B$7)*1000*B$4*(1-'Premissas e Resultado'!$B$12)-MIN($A6,'Premissas e Resultado'!$B$7)*'Premissas e Resultado'!$B$22-'Premissas e Resultado'!$B$32</f>
        <v>-31600</v>
      </c>
      <c r="C6" s="24" t="n">
        <f aca="false">MIN($A6,'Premissas e Resultado'!$B$7)*1000*C$4*(1-'Premissas e Resultado'!$B$12)-MIN($A6,'Premissas e Resultado'!$B$7)*'Premissas e Resultado'!$B$22-'Premissas e Resultado'!$B$32</f>
        <v>-28900</v>
      </c>
      <c r="D6" s="24" t="n">
        <f aca="false">MIN($A6,'Premissas e Resultado'!$B$7)*1000*D$4*(1-'Premissas e Resultado'!$B$12)-MIN($A6,'Premissas e Resultado'!$B$7)*'Premissas e Resultado'!$B$22-'Premissas e Resultado'!$B$32</f>
        <v>-26200</v>
      </c>
      <c r="E6" s="24" t="n">
        <f aca="false">MIN($A6,'Premissas e Resultado'!$B$7)*1000*E$4*(1-'Premissas e Resultado'!$B$12)-MIN($A6,'Premissas e Resultado'!$B$7)*'Premissas e Resultado'!$B$22-'Premissas e Resultado'!$B$32</f>
        <v>-23500</v>
      </c>
      <c r="F6" s="24" t="n">
        <f aca="false">MIN($A6,'Premissas e Resultado'!$B$7)*1000*F$4*(1-'Premissas e Resultado'!$B$12)-MIN($A6,'Premissas e Resultado'!$B$7)*'Premissas e Resultado'!$B$22-'Premissas e Resultado'!$B$32</f>
        <v>-20800</v>
      </c>
      <c r="G6" s="24" t="n">
        <f aca="false">MIN($A6,'Premissas e Resultado'!$B$7)*1000*G$4*(1-'Premissas e Resultado'!$B$12)-MIN($A6,'Premissas e Resultado'!$B$7)*'Premissas e Resultado'!$B$22-'Premissas e Resultado'!$B$32</f>
        <v>-18100</v>
      </c>
      <c r="H6" s="24" t="n">
        <f aca="false">MIN($A6,'Premissas e Resultado'!$B$7)*1000*H$4*(1-'Premissas e Resultado'!$B$12)-MIN($A6,'Premissas e Resultado'!$B$7)*'Premissas e Resultado'!$B$22-'Premissas e Resultado'!$B$32</f>
        <v>-15400</v>
      </c>
      <c r="I6" s="24" t="n">
        <f aca="false">MIN($A6,'Premissas e Resultado'!$B$7)*1000*I$4*(1-'Premissas e Resultado'!$B$12)-MIN($A6,'Premissas e Resultado'!$B$7)*'Premissas e Resultado'!$B$22-'Premissas e Resultado'!$B$32</f>
        <v>-10000</v>
      </c>
    </row>
    <row r="7" customFormat="false" ht="15" hidden="false" customHeight="false" outlineLevel="0" collapsed="false">
      <c r="A7" s="9" t="n">
        <v>40</v>
      </c>
      <c r="B7" s="24" t="n">
        <f aca="false">MIN($A7,'Premissas e Resultado'!$B$7)*1000*B$4*(1-'Premissas e Resultado'!$B$12)-MIN($A7,'Premissas e Resultado'!$B$7)*'Premissas e Resultado'!$B$22-'Premissas e Resultado'!$B$32</f>
        <v>-29800</v>
      </c>
      <c r="C7" s="24" t="n">
        <f aca="false">MIN($A7,'Premissas e Resultado'!$B$7)*1000*C$4*(1-'Premissas e Resultado'!$B$12)-MIN($A7,'Premissas e Resultado'!$B$7)*'Premissas e Resultado'!$B$22-'Premissas e Resultado'!$B$32</f>
        <v>-26200</v>
      </c>
      <c r="D7" s="24" t="n">
        <f aca="false">MIN($A7,'Premissas e Resultado'!$B$7)*1000*D$4*(1-'Premissas e Resultado'!$B$12)-MIN($A7,'Premissas e Resultado'!$B$7)*'Premissas e Resultado'!$B$22-'Premissas e Resultado'!$B$32</f>
        <v>-22600</v>
      </c>
      <c r="E7" s="24" t="n">
        <f aca="false">MIN($A7,'Premissas e Resultado'!$B$7)*1000*E$4*(1-'Premissas e Resultado'!$B$12)-MIN($A7,'Premissas e Resultado'!$B$7)*'Premissas e Resultado'!$B$22-'Premissas e Resultado'!$B$32</f>
        <v>-19000</v>
      </c>
      <c r="F7" s="24" t="n">
        <f aca="false">MIN($A7,'Premissas e Resultado'!$B$7)*1000*F$4*(1-'Premissas e Resultado'!$B$12)-MIN($A7,'Premissas e Resultado'!$B$7)*'Premissas e Resultado'!$B$22-'Premissas e Resultado'!$B$32</f>
        <v>-15400</v>
      </c>
      <c r="G7" s="24" t="n">
        <f aca="false">MIN($A7,'Premissas e Resultado'!$B$7)*1000*G$4*(1-'Premissas e Resultado'!$B$12)-MIN($A7,'Premissas e Resultado'!$B$7)*'Premissas e Resultado'!$B$22-'Premissas e Resultado'!$B$32</f>
        <v>-11800</v>
      </c>
      <c r="H7" s="24" t="n">
        <f aca="false">MIN($A7,'Premissas e Resultado'!$B$7)*1000*H$4*(1-'Premissas e Resultado'!$B$12)-MIN($A7,'Premissas e Resultado'!$B$7)*'Premissas e Resultado'!$B$22-'Premissas e Resultado'!$B$32</f>
        <v>-8200</v>
      </c>
      <c r="I7" s="24" t="n">
        <f aca="false">MIN($A7,'Premissas e Resultado'!$B$7)*1000*I$4*(1-'Premissas e Resultado'!$B$12)-MIN($A7,'Premissas e Resultado'!$B$7)*'Premissas e Resultado'!$B$22-'Premissas e Resultado'!$B$32</f>
        <v>-1000</v>
      </c>
    </row>
    <row r="8" customFormat="false" ht="15" hidden="false" customHeight="false" outlineLevel="0" collapsed="false">
      <c r="A8" s="9" t="n">
        <v>50</v>
      </c>
      <c r="B8" s="24" t="n">
        <f aca="false">MIN($A8,'Premissas e Resultado'!$B$7)*1000*B$4*(1-'Premissas e Resultado'!$B$12)-MIN($A8,'Premissas e Resultado'!$B$7)*'Premissas e Resultado'!$B$22-'Premissas e Resultado'!$B$32</f>
        <v>-28000</v>
      </c>
      <c r="C8" s="24" t="n">
        <f aca="false">MIN($A8,'Premissas e Resultado'!$B$7)*1000*C$4*(1-'Premissas e Resultado'!$B$12)-MIN($A8,'Premissas e Resultado'!$B$7)*'Premissas e Resultado'!$B$22-'Premissas e Resultado'!$B$32</f>
        <v>-23500</v>
      </c>
      <c r="D8" s="24" t="n">
        <f aca="false">MIN($A8,'Premissas e Resultado'!$B$7)*1000*D$4*(1-'Premissas e Resultado'!$B$12)-MIN($A8,'Premissas e Resultado'!$B$7)*'Premissas e Resultado'!$B$22-'Premissas e Resultado'!$B$32</f>
        <v>-19000</v>
      </c>
      <c r="E8" s="24" t="n">
        <f aca="false">MIN($A8,'Premissas e Resultado'!$B$7)*1000*E$4*(1-'Premissas e Resultado'!$B$12)-MIN($A8,'Premissas e Resultado'!$B$7)*'Premissas e Resultado'!$B$22-'Premissas e Resultado'!$B$32</f>
        <v>-14500</v>
      </c>
      <c r="F8" s="24" t="n">
        <f aca="false">MIN($A8,'Premissas e Resultado'!$B$7)*1000*F$4*(1-'Premissas e Resultado'!$B$12)-MIN($A8,'Premissas e Resultado'!$B$7)*'Premissas e Resultado'!$B$22-'Premissas e Resultado'!$B$32</f>
        <v>-10000</v>
      </c>
      <c r="G8" s="24" t="n">
        <f aca="false">MIN($A8,'Premissas e Resultado'!$B$7)*1000*G$4*(1-'Premissas e Resultado'!$B$12)-MIN($A8,'Premissas e Resultado'!$B$7)*'Premissas e Resultado'!$B$22-'Premissas e Resultado'!$B$32</f>
        <v>-5500</v>
      </c>
      <c r="H8" s="24" t="n">
        <f aca="false">MIN($A8,'Premissas e Resultado'!$B$7)*1000*H$4*(1-'Premissas e Resultado'!$B$12)-MIN($A8,'Premissas e Resultado'!$B$7)*'Premissas e Resultado'!$B$22-'Premissas e Resultado'!$B$32</f>
        <v>-1000</v>
      </c>
      <c r="I8" s="24" t="n">
        <f aca="false">MIN($A8,'Premissas e Resultado'!$B$7)*1000*I$4*(1-'Premissas e Resultado'!$B$12)-MIN($A8,'Premissas e Resultado'!$B$7)*'Premissas e Resultado'!$B$22-'Premissas e Resultado'!$B$32</f>
        <v>8000</v>
      </c>
    </row>
    <row r="9" customFormat="false" ht="15" hidden="false" customHeight="false" outlineLevel="0" collapsed="false">
      <c r="A9" s="9" t="n">
        <v>60</v>
      </c>
      <c r="B9" s="24" t="n">
        <f aca="false">MIN($A9,'Premissas e Resultado'!$B$7)*1000*B$4*(1-'Premissas e Resultado'!$B$12)-MIN($A9,'Premissas e Resultado'!$B$7)*'Premissas e Resultado'!$B$22-'Premissas e Resultado'!$B$32</f>
        <v>-26200</v>
      </c>
      <c r="C9" s="24" t="n">
        <f aca="false">MIN($A9,'Premissas e Resultado'!$B$7)*1000*C$4*(1-'Premissas e Resultado'!$B$12)-MIN($A9,'Premissas e Resultado'!$B$7)*'Premissas e Resultado'!$B$22-'Premissas e Resultado'!$B$32</f>
        <v>-20800</v>
      </c>
      <c r="D9" s="24" t="n">
        <f aca="false">MIN($A9,'Premissas e Resultado'!$B$7)*1000*D$4*(1-'Premissas e Resultado'!$B$12)-MIN($A9,'Premissas e Resultado'!$B$7)*'Premissas e Resultado'!$B$22-'Premissas e Resultado'!$B$32</f>
        <v>-15400</v>
      </c>
      <c r="E9" s="24" t="n">
        <f aca="false">MIN($A9,'Premissas e Resultado'!$B$7)*1000*E$4*(1-'Premissas e Resultado'!$B$12)-MIN($A9,'Premissas e Resultado'!$B$7)*'Premissas e Resultado'!$B$22-'Premissas e Resultado'!$B$32</f>
        <v>-10000</v>
      </c>
      <c r="F9" s="24" t="n">
        <f aca="false">MIN($A9,'Premissas e Resultado'!$B$7)*1000*F$4*(1-'Premissas e Resultado'!$B$12)-MIN($A9,'Premissas e Resultado'!$B$7)*'Premissas e Resultado'!$B$22-'Premissas e Resultado'!$B$32</f>
        <v>-4600</v>
      </c>
      <c r="G9" s="24" t="n">
        <f aca="false">MIN($A9,'Premissas e Resultado'!$B$7)*1000*G$4*(1-'Premissas e Resultado'!$B$12)-MIN($A9,'Premissas e Resultado'!$B$7)*'Premissas e Resultado'!$B$22-'Premissas e Resultado'!$B$32</f>
        <v>800</v>
      </c>
      <c r="H9" s="24" t="n">
        <f aca="false">MIN($A9,'Premissas e Resultado'!$B$7)*1000*H$4*(1-'Premissas e Resultado'!$B$12)-MIN($A9,'Premissas e Resultado'!$B$7)*'Premissas e Resultado'!$B$22-'Premissas e Resultado'!$B$32</f>
        <v>6200</v>
      </c>
      <c r="I9" s="24" t="n">
        <f aca="false">MIN($A9,'Premissas e Resultado'!$B$7)*1000*I$4*(1-'Premissas e Resultado'!$B$12)-MIN($A9,'Premissas e Resultado'!$B$7)*'Premissas e Resultado'!$B$22-'Premissas e Resultado'!$B$32</f>
        <v>17000</v>
      </c>
    </row>
    <row r="10" customFormat="false" ht="15" hidden="false" customHeight="false" outlineLevel="0" collapsed="false">
      <c r="A10" s="9" t="n">
        <v>70</v>
      </c>
      <c r="B10" s="24" t="n">
        <f aca="false">MIN($A10,'Premissas e Resultado'!$B$7)*1000*B$4*(1-'Premissas e Resultado'!$B$12)-MIN($A10,'Premissas e Resultado'!$B$7)*'Premissas e Resultado'!$B$22-'Premissas e Resultado'!$B$32</f>
        <v>-24400</v>
      </c>
      <c r="C10" s="24" t="n">
        <f aca="false">MIN($A10,'Premissas e Resultado'!$B$7)*1000*C$4*(1-'Premissas e Resultado'!$B$12)-MIN($A10,'Premissas e Resultado'!$B$7)*'Premissas e Resultado'!$B$22-'Premissas e Resultado'!$B$32</f>
        <v>-18100</v>
      </c>
      <c r="D10" s="24" t="n">
        <f aca="false">MIN($A10,'Premissas e Resultado'!$B$7)*1000*D$4*(1-'Premissas e Resultado'!$B$12)-MIN($A10,'Premissas e Resultado'!$B$7)*'Premissas e Resultado'!$B$22-'Premissas e Resultado'!$B$32</f>
        <v>-11800</v>
      </c>
      <c r="E10" s="24" t="n">
        <f aca="false">MIN($A10,'Premissas e Resultado'!$B$7)*1000*E$4*(1-'Premissas e Resultado'!$B$12)-MIN($A10,'Premissas e Resultado'!$B$7)*'Premissas e Resultado'!$B$22-'Premissas e Resultado'!$B$32</f>
        <v>-5500</v>
      </c>
      <c r="F10" s="24" t="n">
        <f aca="false">MIN($A10,'Premissas e Resultado'!$B$7)*1000*F$4*(1-'Premissas e Resultado'!$B$12)-MIN($A10,'Premissas e Resultado'!$B$7)*'Premissas e Resultado'!$B$22-'Premissas e Resultado'!$B$32</f>
        <v>800</v>
      </c>
      <c r="G10" s="24" t="n">
        <f aca="false">MIN($A10,'Premissas e Resultado'!$B$7)*1000*G$4*(1-'Premissas e Resultado'!$B$12)-MIN($A10,'Premissas e Resultado'!$B$7)*'Premissas e Resultado'!$B$22-'Premissas e Resultado'!$B$32</f>
        <v>7100</v>
      </c>
      <c r="H10" s="24" t="n">
        <f aca="false">MIN($A10,'Premissas e Resultado'!$B$7)*1000*H$4*(1-'Premissas e Resultado'!$B$12)-MIN($A10,'Premissas e Resultado'!$B$7)*'Premissas e Resultado'!$B$22-'Premissas e Resultado'!$B$32</f>
        <v>13400</v>
      </c>
      <c r="I10" s="24" t="n">
        <f aca="false">MIN($A10,'Premissas e Resultado'!$B$7)*1000*I$4*(1-'Premissas e Resultado'!$B$12)-MIN($A10,'Premissas e Resultado'!$B$7)*'Premissas e Resultado'!$B$22-'Premissas e Resultado'!$B$32</f>
        <v>26000</v>
      </c>
    </row>
    <row r="11" customFormat="false" ht="15" hidden="false" customHeight="false" outlineLevel="0" collapsed="false">
      <c r="A11" s="9" t="n">
        <v>80</v>
      </c>
      <c r="B11" s="24" t="n">
        <f aca="false">MIN($A11,'Premissas e Resultado'!$B$7)*1000*B$4*(1-'Premissas e Resultado'!$B$12)-MIN($A11,'Premissas e Resultado'!$B$7)*'Premissas e Resultado'!$B$22-'Premissas e Resultado'!$B$32</f>
        <v>-22600</v>
      </c>
      <c r="C11" s="24" t="n">
        <f aca="false">MIN($A11,'Premissas e Resultado'!$B$7)*1000*C$4*(1-'Premissas e Resultado'!$B$12)-MIN($A11,'Premissas e Resultado'!$B$7)*'Premissas e Resultado'!$B$22-'Premissas e Resultado'!$B$32</f>
        <v>-15400</v>
      </c>
      <c r="D11" s="24" t="n">
        <f aca="false">MIN($A11,'Premissas e Resultado'!$B$7)*1000*D$4*(1-'Premissas e Resultado'!$B$12)-MIN($A11,'Premissas e Resultado'!$B$7)*'Premissas e Resultado'!$B$22-'Premissas e Resultado'!$B$32</f>
        <v>-8200</v>
      </c>
      <c r="E11" s="24" t="n">
        <f aca="false">MIN($A11,'Premissas e Resultado'!$B$7)*1000*E$4*(1-'Premissas e Resultado'!$B$12)-MIN($A11,'Premissas e Resultado'!$B$7)*'Premissas e Resultado'!$B$22-'Premissas e Resultado'!$B$32</f>
        <v>-1000</v>
      </c>
      <c r="F11" s="24" t="n">
        <f aca="false">MIN($A11,'Premissas e Resultado'!$B$7)*1000*F$4*(1-'Premissas e Resultado'!$B$12)-MIN($A11,'Premissas e Resultado'!$B$7)*'Premissas e Resultado'!$B$22-'Premissas e Resultado'!$B$32</f>
        <v>6200</v>
      </c>
      <c r="G11" s="24" t="n">
        <f aca="false">MIN($A11,'Premissas e Resultado'!$B$7)*1000*G$4*(1-'Premissas e Resultado'!$B$12)-MIN($A11,'Premissas e Resultado'!$B$7)*'Premissas e Resultado'!$B$22-'Premissas e Resultado'!$B$32</f>
        <v>13400</v>
      </c>
      <c r="H11" s="24" t="n">
        <f aca="false">MIN($A11,'Premissas e Resultado'!$B$7)*1000*H$4*(1-'Premissas e Resultado'!$B$12)-MIN($A11,'Premissas e Resultado'!$B$7)*'Premissas e Resultado'!$B$22-'Premissas e Resultado'!$B$32</f>
        <v>20600</v>
      </c>
      <c r="I11" s="24" t="n">
        <f aca="false">MIN($A11,'Premissas e Resultado'!$B$7)*1000*I$4*(1-'Premissas e Resultado'!$B$12)-MIN($A11,'Premissas e Resultado'!$B$7)*'Premissas e Resultado'!$B$22-'Premissas e Resultado'!$B$32</f>
        <v>35000</v>
      </c>
    </row>
    <row r="12" customFormat="false" ht="15" hidden="false" customHeight="false" outlineLevel="0" collapsed="false">
      <c r="A12" s="9" t="n">
        <v>88</v>
      </c>
      <c r="B12" s="24" t="n">
        <f aca="false">MIN($A12,'Premissas e Resultado'!$B$7)*1000*B$4*(1-'Premissas e Resultado'!$B$12)-MIN($A12,'Premissas e Resultado'!$B$7)*'Premissas e Resultado'!$B$22-'Premissas e Resultado'!$B$32</f>
        <v>-21160</v>
      </c>
      <c r="C12" s="24" t="n">
        <f aca="false">MIN($A12,'Premissas e Resultado'!$B$7)*1000*C$4*(1-'Premissas e Resultado'!$B$12)-MIN($A12,'Premissas e Resultado'!$B$7)*'Premissas e Resultado'!$B$22-'Premissas e Resultado'!$B$32</f>
        <v>-13240</v>
      </c>
      <c r="D12" s="24" t="n">
        <f aca="false">MIN($A12,'Premissas e Resultado'!$B$7)*1000*D$4*(1-'Premissas e Resultado'!$B$12)-MIN($A12,'Premissas e Resultado'!$B$7)*'Premissas e Resultado'!$B$22-'Premissas e Resultado'!$B$32</f>
        <v>-5320</v>
      </c>
      <c r="E12" s="24" t="n">
        <f aca="false">MIN($A12,'Premissas e Resultado'!$B$7)*1000*E$4*(1-'Premissas e Resultado'!$B$12)-MIN($A12,'Premissas e Resultado'!$B$7)*'Premissas e Resultado'!$B$22-'Premissas e Resultado'!$B$32</f>
        <v>2599.99999999999</v>
      </c>
      <c r="F12" s="24" t="n">
        <f aca="false">MIN($A12,'Premissas e Resultado'!$B$7)*1000*F$4*(1-'Premissas e Resultado'!$B$12)-MIN($A12,'Premissas e Resultado'!$B$7)*'Premissas e Resultado'!$B$22-'Premissas e Resultado'!$B$32</f>
        <v>10520</v>
      </c>
      <c r="G12" s="24" t="n">
        <f aca="false">MIN($A12,'Premissas e Resultado'!$B$7)*1000*G$4*(1-'Premissas e Resultado'!$B$12)-MIN($A12,'Premissas e Resultado'!$B$7)*'Premissas e Resultado'!$B$22-'Premissas e Resultado'!$B$32</f>
        <v>18440</v>
      </c>
      <c r="H12" s="24" t="n">
        <f aca="false">MIN($A12,'Premissas e Resultado'!$B$7)*1000*H$4*(1-'Premissas e Resultado'!$B$12)-MIN($A12,'Premissas e Resultado'!$B$7)*'Premissas e Resultado'!$B$22-'Premissas e Resultado'!$B$32</f>
        <v>26360</v>
      </c>
      <c r="I12" s="24" t="n">
        <f aca="false">MIN($A12,'Premissas e Resultado'!$B$7)*1000*I$4*(1-'Premissas e Resultado'!$B$12)-MIN($A12,'Premissas e Resultado'!$B$7)*'Premissas e Resultado'!$B$22-'Premissas e Resultado'!$B$32</f>
        <v>42200</v>
      </c>
    </row>
    <row r="13" customFormat="false" ht="15" hidden="false" customHeight="false" outlineLevel="0" collapsed="false">
      <c r="A13" s="9" t="n">
        <v>100</v>
      </c>
      <c r="B13" s="24" t="n">
        <f aca="false">MIN($A13,'Premissas e Resultado'!$B$7)*1000*B$4*(1-'Premissas e Resultado'!$B$12)-MIN($A13,'Premissas e Resultado'!$B$7)*'Premissas e Resultado'!$B$22-'Premissas e Resultado'!$B$32</f>
        <v>-21160</v>
      </c>
      <c r="C13" s="24" t="n">
        <f aca="false">MIN($A13,'Premissas e Resultado'!$B$7)*1000*C$4*(1-'Premissas e Resultado'!$B$12)-MIN($A13,'Premissas e Resultado'!$B$7)*'Premissas e Resultado'!$B$22-'Premissas e Resultado'!$B$32</f>
        <v>-13240</v>
      </c>
      <c r="D13" s="24" t="n">
        <f aca="false">MIN($A13,'Premissas e Resultado'!$B$7)*1000*D$4*(1-'Premissas e Resultado'!$B$12)-MIN($A13,'Premissas e Resultado'!$B$7)*'Premissas e Resultado'!$B$22-'Premissas e Resultado'!$B$32</f>
        <v>-5320</v>
      </c>
      <c r="E13" s="24" t="n">
        <f aca="false">MIN($A13,'Premissas e Resultado'!$B$7)*1000*E$4*(1-'Premissas e Resultado'!$B$12)-MIN($A13,'Premissas e Resultado'!$B$7)*'Premissas e Resultado'!$B$22-'Premissas e Resultado'!$B$32</f>
        <v>2599.99999999999</v>
      </c>
      <c r="F13" s="24" t="n">
        <f aca="false">MIN($A13,'Premissas e Resultado'!$B$7)*1000*F$4*(1-'Premissas e Resultado'!$B$12)-MIN($A13,'Premissas e Resultado'!$B$7)*'Premissas e Resultado'!$B$22-'Premissas e Resultado'!$B$32</f>
        <v>10520</v>
      </c>
      <c r="G13" s="24" t="n">
        <f aca="false">MIN($A13,'Premissas e Resultado'!$B$7)*1000*G$4*(1-'Premissas e Resultado'!$B$12)-MIN($A13,'Premissas e Resultado'!$B$7)*'Premissas e Resultado'!$B$22-'Premissas e Resultado'!$B$32</f>
        <v>18440</v>
      </c>
      <c r="H13" s="24" t="n">
        <f aca="false">MIN($A13,'Premissas e Resultado'!$B$7)*1000*H$4*(1-'Premissas e Resultado'!$B$12)-MIN($A13,'Premissas e Resultado'!$B$7)*'Premissas e Resultado'!$B$22-'Premissas e Resultado'!$B$32</f>
        <v>26360</v>
      </c>
      <c r="I13" s="24" t="n">
        <f aca="false">MIN($A13,'Premissas e Resultado'!$B$7)*1000*I$4*(1-'Premissas e Resultado'!$B$12)-MIN($A13,'Premissas e Resultado'!$B$7)*'Premissas e Resultado'!$B$22-'Premissas e Resultado'!$B$32</f>
        <v>42200</v>
      </c>
    </row>
  </sheetData>
  <conditionalFormatting sqref="B5:I13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2"/>
  </cols>
  <sheetData>
    <row r="1" customFormat="false" ht="17.35" hidden="false" customHeight="false" outlineLevel="0" collapsed="false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16" t="s">
        <v>76</v>
      </c>
      <c r="B4" s="16" t="n">
        <v>1</v>
      </c>
      <c r="C4" s="16" t="n">
        <v>2</v>
      </c>
      <c r="D4" s="16" t="n">
        <v>3</v>
      </c>
      <c r="E4" s="16" t="n">
        <v>4</v>
      </c>
      <c r="F4" s="16" t="n">
        <v>5</v>
      </c>
      <c r="G4" s="16" t="n">
        <v>6</v>
      </c>
      <c r="H4" s="16" t="n">
        <v>7</v>
      </c>
      <c r="I4" s="16" t="n">
        <v>8</v>
      </c>
      <c r="J4" s="16" t="n">
        <v>9</v>
      </c>
      <c r="K4" s="16" t="n">
        <v>10</v>
      </c>
      <c r="L4" s="16" t="n">
        <v>11</v>
      </c>
      <c r="M4" s="16" t="n">
        <v>12</v>
      </c>
    </row>
    <row r="5" customFormat="false" ht="15" hidden="false" customHeight="false" outlineLevel="0" collapsed="false">
      <c r="A5" s="6" t="s">
        <v>77</v>
      </c>
      <c r="B5" s="9" t="n">
        <v>30</v>
      </c>
      <c r="C5" s="9" t="n">
        <v>45</v>
      </c>
      <c r="D5" s="9" t="n">
        <v>60</v>
      </c>
      <c r="E5" s="9" t="n">
        <v>70</v>
      </c>
      <c r="F5" s="9" t="n">
        <v>80</v>
      </c>
      <c r="G5" s="9" t="n">
        <v>80</v>
      </c>
      <c r="H5" s="9" t="n">
        <v>85</v>
      </c>
      <c r="I5" s="9" t="n">
        <v>88</v>
      </c>
      <c r="J5" s="9" t="n">
        <v>88</v>
      </c>
      <c r="K5" s="9" t="n">
        <v>88</v>
      </c>
      <c r="L5" s="9" t="n">
        <v>88</v>
      </c>
      <c r="M5" s="9" t="n">
        <v>88</v>
      </c>
    </row>
    <row r="6" customFormat="false" ht="15" hidden="false" customHeight="false" outlineLevel="0" collapsed="false">
      <c r="A6" s="6" t="s">
        <v>78</v>
      </c>
      <c r="B6" s="10" t="n">
        <f aca="false">MIN(B5,'Premissas e Resultado'!$B$7)</f>
        <v>30</v>
      </c>
      <c r="C6" s="10" t="n">
        <f aca="false">MIN(C5,'Premissas e Resultado'!$B$7)</f>
        <v>45</v>
      </c>
      <c r="D6" s="10" t="n">
        <f aca="false">MIN(D5,'Premissas e Resultado'!$B$7)</f>
        <v>60</v>
      </c>
      <c r="E6" s="10" t="n">
        <f aca="false">MIN(E5,'Premissas e Resultado'!$B$7)</f>
        <v>70</v>
      </c>
      <c r="F6" s="10" t="n">
        <f aca="false">MIN(F5,'Premissas e Resultado'!$B$7)</f>
        <v>80</v>
      </c>
      <c r="G6" s="10" t="n">
        <f aca="false">MIN(G5,'Premissas e Resultado'!$B$7)</f>
        <v>80</v>
      </c>
      <c r="H6" s="10" t="n">
        <f aca="false">MIN(H5,'Premissas e Resultado'!$B$7)</f>
        <v>85</v>
      </c>
      <c r="I6" s="10" t="n">
        <f aca="false">MIN(I5,'Premissas e Resultado'!$B$7)</f>
        <v>88</v>
      </c>
      <c r="J6" s="10" t="n">
        <f aca="false">MIN(J5,'Premissas e Resultado'!$B$7)</f>
        <v>88</v>
      </c>
      <c r="K6" s="10" t="n">
        <f aca="false">MIN(K5,'Premissas e Resultado'!$B$7)</f>
        <v>88</v>
      </c>
      <c r="L6" s="10" t="n">
        <f aca="false">MIN(L5,'Premissas e Resultado'!$B$7)</f>
        <v>88</v>
      </c>
      <c r="M6" s="10" t="n">
        <f aca="false">MIN(M5,'Premissas e Resultado'!$B$7)</f>
        <v>88</v>
      </c>
    </row>
    <row r="7" customFormat="false" ht="15" hidden="false" customHeight="false" outlineLevel="0" collapsed="false">
      <c r="A7" s="6" t="s">
        <v>79</v>
      </c>
      <c r="B7" s="14" t="n">
        <f aca="false">B6*1000*'Premissas e Resultado'!$B$11</f>
        <v>24000</v>
      </c>
      <c r="C7" s="14" t="n">
        <f aca="false">C6*1000*'Premissas e Resultado'!$B$11</f>
        <v>36000</v>
      </c>
      <c r="D7" s="14" t="n">
        <f aca="false">D6*1000*'Premissas e Resultado'!$B$11</f>
        <v>48000</v>
      </c>
      <c r="E7" s="14" t="n">
        <f aca="false">E6*1000*'Premissas e Resultado'!$B$11</f>
        <v>56000</v>
      </c>
      <c r="F7" s="14" t="n">
        <f aca="false">F6*1000*'Premissas e Resultado'!$B$11</f>
        <v>64000</v>
      </c>
      <c r="G7" s="14" t="n">
        <f aca="false">G6*1000*'Premissas e Resultado'!$B$11</f>
        <v>64000</v>
      </c>
      <c r="H7" s="14" t="n">
        <f aca="false">H6*1000*'Premissas e Resultado'!$B$11</f>
        <v>68000</v>
      </c>
      <c r="I7" s="14" t="n">
        <f aca="false">I6*1000*'Premissas e Resultado'!$B$11</f>
        <v>70400</v>
      </c>
      <c r="J7" s="14" t="n">
        <f aca="false">J6*1000*'Premissas e Resultado'!$B$11</f>
        <v>70400</v>
      </c>
      <c r="K7" s="14" t="n">
        <f aca="false">K6*1000*'Premissas e Resultado'!$B$11</f>
        <v>70400</v>
      </c>
      <c r="L7" s="14" t="n">
        <f aca="false">L6*1000*'Premissas e Resultado'!$B$11</f>
        <v>70400</v>
      </c>
      <c r="M7" s="14" t="n">
        <f aca="false">M6*1000*'Premissas e Resultado'!$B$11</f>
        <v>70400</v>
      </c>
    </row>
    <row r="8" customFormat="false" ht="15" hidden="false" customHeight="false" outlineLevel="0" collapsed="false">
      <c r="A8" s="6" t="s">
        <v>80</v>
      </c>
      <c r="B8" s="14" t="n">
        <f aca="false">-B7*'Premissas e Resultado'!$B$12</f>
        <v>-2400</v>
      </c>
      <c r="C8" s="14" t="n">
        <f aca="false">-C7*'Premissas e Resultado'!$B$12</f>
        <v>-3600</v>
      </c>
      <c r="D8" s="14" t="n">
        <f aca="false">-D7*'Premissas e Resultado'!$B$12</f>
        <v>-4800</v>
      </c>
      <c r="E8" s="14" t="n">
        <f aca="false">-E7*'Premissas e Resultado'!$B$12</f>
        <v>-5600</v>
      </c>
      <c r="F8" s="14" t="n">
        <f aca="false">-F7*'Premissas e Resultado'!$B$12</f>
        <v>-6400</v>
      </c>
      <c r="G8" s="14" t="n">
        <f aca="false">-G7*'Premissas e Resultado'!$B$12</f>
        <v>-6400</v>
      </c>
      <c r="H8" s="14" t="n">
        <f aca="false">-H7*'Premissas e Resultado'!$B$12</f>
        <v>-6800</v>
      </c>
      <c r="I8" s="14" t="n">
        <f aca="false">-I7*'Premissas e Resultado'!$B$12</f>
        <v>-7040</v>
      </c>
      <c r="J8" s="14" t="n">
        <f aca="false">-J7*'Premissas e Resultado'!$B$12</f>
        <v>-7040</v>
      </c>
      <c r="K8" s="14" t="n">
        <f aca="false">-K7*'Premissas e Resultado'!$B$12</f>
        <v>-7040</v>
      </c>
      <c r="L8" s="14" t="n">
        <f aca="false">-L7*'Premissas e Resultado'!$B$12</f>
        <v>-7040</v>
      </c>
      <c r="M8" s="14" t="n">
        <f aca="false">-M7*'Premissas e Resultado'!$B$12</f>
        <v>-7040</v>
      </c>
    </row>
    <row r="9" customFormat="false" ht="15" hidden="false" customHeight="false" outlineLevel="0" collapsed="false">
      <c r="A9" s="6" t="s">
        <v>81</v>
      </c>
      <c r="B9" s="14" t="n">
        <f aca="false">-B6*'Premissas e Resultado'!$B$22</f>
        <v>-5400</v>
      </c>
      <c r="C9" s="14" t="n">
        <f aca="false">-C6*'Premissas e Resultado'!$B$22</f>
        <v>-8100</v>
      </c>
      <c r="D9" s="14" t="n">
        <f aca="false">-D6*'Premissas e Resultado'!$B$22</f>
        <v>-10800</v>
      </c>
      <c r="E9" s="14" t="n">
        <f aca="false">-E6*'Premissas e Resultado'!$B$22</f>
        <v>-12600</v>
      </c>
      <c r="F9" s="14" t="n">
        <f aca="false">-F6*'Premissas e Resultado'!$B$22</f>
        <v>-14400</v>
      </c>
      <c r="G9" s="14" t="n">
        <f aca="false">-G6*'Premissas e Resultado'!$B$22</f>
        <v>-14400</v>
      </c>
      <c r="H9" s="14" t="n">
        <f aca="false">-H6*'Premissas e Resultado'!$B$22</f>
        <v>-15300</v>
      </c>
      <c r="I9" s="14" t="n">
        <f aca="false">-I6*'Premissas e Resultado'!$B$22</f>
        <v>-15840</v>
      </c>
      <c r="J9" s="14" t="n">
        <f aca="false">-J6*'Premissas e Resultado'!$B$22</f>
        <v>-15840</v>
      </c>
      <c r="K9" s="14" t="n">
        <f aca="false">-K6*'Premissas e Resultado'!$B$22</f>
        <v>-15840</v>
      </c>
      <c r="L9" s="14" t="n">
        <f aca="false">-L6*'Premissas e Resultado'!$B$22</f>
        <v>-15840</v>
      </c>
      <c r="M9" s="14" t="n">
        <f aca="false">-M6*'Premissas e Resultado'!$B$22</f>
        <v>-15840</v>
      </c>
    </row>
    <row r="10" customFormat="false" ht="15" hidden="false" customHeight="false" outlineLevel="0" collapsed="false">
      <c r="A10" s="6" t="s">
        <v>82</v>
      </c>
      <c r="B10" s="14" t="n">
        <f aca="false">-'Premissas e Resultado'!$B$32</f>
        <v>-37000</v>
      </c>
      <c r="C10" s="14" t="n">
        <f aca="false">-'Premissas e Resultado'!$B$32</f>
        <v>-37000</v>
      </c>
      <c r="D10" s="14" t="n">
        <f aca="false">-'Premissas e Resultado'!$B$32</f>
        <v>-37000</v>
      </c>
      <c r="E10" s="14" t="n">
        <f aca="false">-'Premissas e Resultado'!$B$32</f>
        <v>-37000</v>
      </c>
      <c r="F10" s="14" t="n">
        <f aca="false">-'Premissas e Resultado'!$B$32</f>
        <v>-37000</v>
      </c>
      <c r="G10" s="14" t="n">
        <f aca="false">-'Premissas e Resultado'!$B$32</f>
        <v>-37000</v>
      </c>
      <c r="H10" s="14" t="n">
        <f aca="false">-'Premissas e Resultado'!$B$32</f>
        <v>-37000</v>
      </c>
      <c r="I10" s="14" t="n">
        <f aca="false">-'Premissas e Resultado'!$B$32</f>
        <v>-37000</v>
      </c>
      <c r="J10" s="14" t="n">
        <f aca="false">-'Premissas e Resultado'!$B$32</f>
        <v>-37000</v>
      </c>
      <c r="K10" s="14" t="n">
        <f aca="false">-'Premissas e Resultado'!$B$32</f>
        <v>-37000</v>
      </c>
      <c r="L10" s="14" t="n">
        <f aca="false">-'Premissas e Resultado'!$B$32</f>
        <v>-37000</v>
      </c>
      <c r="M10" s="14" t="n">
        <f aca="false">-'Premissas e Resultado'!$B$32</f>
        <v>-37000</v>
      </c>
    </row>
    <row r="11" customFormat="false" ht="15" hidden="false" customHeight="false" outlineLevel="0" collapsed="false">
      <c r="A11" s="16" t="s">
        <v>83</v>
      </c>
      <c r="B11" s="17" t="n">
        <f aca="false">SUM(B7:B10)</f>
        <v>-20800</v>
      </c>
      <c r="C11" s="17" t="n">
        <f aca="false">SUM(C7:C10)</f>
        <v>-12700</v>
      </c>
      <c r="D11" s="17" t="n">
        <f aca="false">SUM(D7:D10)</f>
        <v>-4600</v>
      </c>
      <c r="E11" s="17" t="n">
        <f aca="false">SUM(E7:E10)</f>
        <v>800</v>
      </c>
      <c r="F11" s="17" t="n">
        <f aca="false">SUM(F7:F10)</f>
        <v>6200</v>
      </c>
      <c r="G11" s="17" t="n">
        <f aca="false">SUM(G7:G10)</f>
        <v>6200</v>
      </c>
      <c r="H11" s="17" t="n">
        <f aca="false">SUM(H7:H10)</f>
        <v>8900</v>
      </c>
      <c r="I11" s="17" t="n">
        <f aca="false">SUM(I7:I10)</f>
        <v>10520</v>
      </c>
      <c r="J11" s="17" t="n">
        <f aca="false">SUM(J7:J10)</f>
        <v>10520</v>
      </c>
      <c r="K11" s="17" t="n">
        <f aca="false">SUM(K7:K10)</f>
        <v>10520</v>
      </c>
      <c r="L11" s="17" t="n">
        <f aca="false">SUM(L7:L10)</f>
        <v>10520</v>
      </c>
      <c r="M11" s="17" t="n">
        <f aca="false">SUM(M7:M10)</f>
        <v>10520</v>
      </c>
    </row>
    <row r="12" customFormat="false" ht="15" hidden="false" customHeight="false" outlineLevel="0" collapsed="false">
      <c r="A12" s="16" t="s">
        <v>84</v>
      </c>
      <c r="B12" s="17" t="n">
        <f aca="false">-'Premissas e Resultado'!$B$39+B11</f>
        <v>-120800</v>
      </c>
      <c r="C12" s="17" t="n">
        <f aca="false">B12+C11</f>
        <v>-133500</v>
      </c>
      <c r="D12" s="17" t="n">
        <f aca="false">C12+D11</f>
        <v>-138100</v>
      </c>
      <c r="E12" s="17" t="n">
        <f aca="false">D12+E11</f>
        <v>-137300</v>
      </c>
      <c r="F12" s="17" t="n">
        <f aca="false">E12+F11</f>
        <v>-131100</v>
      </c>
      <c r="G12" s="17" t="n">
        <f aca="false">F12+G11</f>
        <v>-124900</v>
      </c>
      <c r="H12" s="17" t="n">
        <f aca="false">G12+H11</f>
        <v>-116000</v>
      </c>
      <c r="I12" s="17" t="n">
        <f aca="false">H12+I11</f>
        <v>-105480</v>
      </c>
      <c r="J12" s="17" t="n">
        <f aca="false">I12+J11</f>
        <v>-94960</v>
      </c>
      <c r="K12" s="17" t="n">
        <f aca="false">J12+K11</f>
        <v>-84440</v>
      </c>
      <c r="L12" s="17" t="n">
        <f aca="false">K12+L11</f>
        <v>-73920</v>
      </c>
      <c r="M12" s="17" t="n">
        <f aca="false">L12+M11</f>
        <v>-63400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false" outlineLevel="0" collapsed="false">
      <c r="A14" s="16" t="s">
        <v>85</v>
      </c>
      <c r="B14" s="25" t="n">
        <f aca="false">SUM(B11:M11)</f>
        <v>36600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</sheetData>
  <conditionalFormatting sqref="B11:M12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2026-10-26T18:00:01Z</dcterms:created>
  <dc:creator>openpyxl</dc:creator>
  <dc:description/>
  <dc:language>en-US</dc:language>
  <cp:lastModifiedBy/>
  <dcterms:modified xsi:type="dcterms:W3CDTF">2026-10-26T18:00:01Z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