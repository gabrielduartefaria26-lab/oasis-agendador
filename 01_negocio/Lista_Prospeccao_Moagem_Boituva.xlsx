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Ligar" sheetId="2" state="visible" r:id="rId4"/>
    <sheet name="Concorrentes" sheetId="3" state="visible" r:id="rId5"/>
    <sheet name="Oportunidades" sheetId="4" state="visible" r:id="rId6"/>
    <sheet name="Roteiro" sheetId="5" state="visible" r:id="rId7"/>
  </sheets>
  <definedNames>
    <definedName function="false" hidden="true" localSheetId="2" name="_xlnm._FilterDatabase" vbProcedure="false">Concorrentes!$A$1:$M$18</definedName>
    <definedName function="false" hidden="true" localSheetId="1" name="_xlnm._FilterDatabase" vbProcedure="false">Ligar!$A$1:$S$49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<sst xmlns="http://schemas.openxmlformats.org/spreadsheetml/2006/main" count="863" uniqueCount="629">
  <si>
    <t xml:space="preserve">Prospecção: serviço de moagem de aparas plásticas (Boituva-SP)</t>
  </si>
  <si>
    <t xml:space="preserve">Abas</t>
  </si>
  <si>
    <t xml:space="preserve">Ligar</t>
  </si>
  <si>
    <t xml:space="preserve">Empresas para contato (clientes em potencial). Preencha as colunas amarelas a cada ligação.</t>
  </si>
  <si>
    <t xml:space="preserve">Concorrentes</t>
  </si>
  <si>
    <t xml:space="preserve">Quem já presta serviço parecido e como vende.</t>
  </si>
  <si>
    <t xml:space="preserve">Oportunidades</t>
  </si>
  <si>
    <t xml:space="preserve">O que os concorrentes fazem bem e as brechas para vocês.</t>
  </si>
  <si>
    <t xml:space="preserve">Roteiro</t>
  </si>
  <si>
    <t xml:space="preserve">O que falar e o que perguntar na ligação.</t>
  </si>
  <si>
    <t xml:space="preserve">Prioridade</t>
  </si>
  <si>
    <t xml:space="preserve">REF</t>
  </si>
  <si>
    <t xml:space="preserve">Empresas que você citou (Arqplast, MM Plást): servem de modelo do cliente ideal.</t>
  </si>
  <si>
    <t xml:space="preserve">A</t>
  </si>
  <si>
    <t xml:space="preserve">Recicladora/granuladora de PP, PE ou PET: mesmo perfil do cliente ideal. Ligar primeiro.</t>
  </si>
  <si>
    <t xml:space="preserve">B</t>
  </si>
  <si>
    <t xml:space="preserve">Fábrica que GERA apara de fita, ráfia, filme ou fio: pode pagar pela moagem ou vender a apara.</t>
  </si>
  <si>
    <t xml:space="preserve">C</t>
  </si>
  <si>
    <t xml:space="preserve">Aparista ou gestora de resíduos: junta volume e pode terceirizar a moagem.</t>
  </si>
  <si>
    <t xml:space="preserve">Atenção</t>
  </si>
  <si>
    <t xml:space="preserve">Telefones vieram de sites e diretórios públicos em out/2026. 'não verificado' = não confirmado; procure no Google Maps.</t>
  </si>
  <si>
    <t xml:space="preserve">Distância (km) é estimativa aproximada por estrada a partir de Boituva.</t>
  </si>
  <si>
    <t xml:space="preserve">Capacidade da máquina: até 4 t/dia (~88 t/mês em 22 dias úteis), segundo informação do usuário.</t>
  </si>
  <si>
    <t xml:space="preserve">Resumo das ligações</t>
  </si>
  <si>
    <t xml:space="preserve">Status</t>
  </si>
  <si>
    <t xml:space="preserve">Quantidade</t>
  </si>
  <si>
    <t xml:space="preserve">A ligar</t>
  </si>
  <si>
    <t xml:space="preserve">Sem resposta</t>
  </si>
  <si>
    <t xml:space="preserve">Retornar</t>
  </si>
  <si>
    <t xml:space="preserve">Interessado</t>
  </si>
  <si>
    <t xml:space="preserve">Enviar proposta</t>
  </si>
  <si>
    <t xml:space="preserve">Fechado</t>
  </si>
  <si>
    <t xml:space="preserve">Sem interesse</t>
  </si>
  <si>
    <t xml:space="preserve">Total de empresas</t>
  </si>
  <si>
    <t xml:space="preserve">Já contatadas</t>
  </si>
  <si>
    <t xml:space="preserve">Prior.</t>
  </si>
  <si>
    <t xml:space="preserve">Nº</t>
  </si>
  <si>
    <t xml:space="preserve">Empresa</t>
  </si>
  <si>
    <t xml:space="preserve">Cidade</t>
  </si>
  <si>
    <t xml:space="preserve">Dist. aprox. (km)</t>
  </si>
  <si>
    <t xml:space="preserve">Tipo</t>
  </si>
  <si>
    <t xml:space="preserve">O que fazem</t>
  </si>
  <si>
    <t xml:space="preserve">Telefone</t>
  </si>
  <si>
    <t xml:space="preserve">WhatsApp</t>
  </si>
  <si>
    <t xml:space="preserve">E-mail / Site</t>
  </si>
  <si>
    <t xml:space="preserve">Confiança dos dados</t>
  </si>
  <si>
    <t xml:space="preserve">Por que ligar / o que oferecer</t>
  </si>
  <si>
    <t xml:space="preserve">Fonte</t>
  </si>
  <si>
    <t xml:space="preserve">Data do contato</t>
  </si>
  <si>
    <t xml:space="preserve">Falou com (nome/cargo)</t>
  </si>
  <si>
    <t xml:space="preserve">Volume de apara/mês</t>
  </si>
  <si>
    <t xml:space="preserve">Próximo passo</t>
  </si>
  <si>
    <t xml:space="preserve">Observações</t>
  </si>
  <si>
    <t xml:space="preserve">Arqplast (Toyplast Plásticos Ltda)</t>
  </si>
  <si>
    <t xml:space="preserve">Boituva</t>
  </si>
  <si>
    <t xml:space="preserve">Recicladora / transformadora</t>
  </si>
  <si>
    <t xml:space="preserve">Utilidades domésticas 100% de plástico reciclado; compra fardos de PP/PE; ~250 funcionários, +30 mil t/ano</t>
  </si>
  <si>
    <t xml:space="preserve">(15) 3268-9191</t>
  </si>
  <si>
    <t xml:space="preserve">sac@arqplast.com.br · arqplast.com.br</t>
  </si>
  <si>
    <t xml:space="preserve">Alta</t>
  </si>
  <si>
    <t xml:space="preserve">Referência do perfil de cliente. Tem triagem própria; oferecer moído de PP limpo ou capacidade extra em picos. Perguntar quem gera apara na região.</t>
  </si>
  <si>
    <t xml:space="preserve">https://www.arqplast.com.br/sobrenos/</t>
  </si>
  <si>
    <t xml:space="preserve">MM Plást (nome a confirmar)</t>
  </si>
  <si>
    <t xml:space="preserve">Indaiatuba</t>
  </si>
  <si>
    <t xml:space="preserve">Recicladora (perfil)</t>
  </si>
  <si>
    <t xml:space="preserve">Citada pelo usuário. Não encontrada com esse nome; nomes parecidos no polo do Recreio Campestre Jóia: Megplast e Making Plast (linhas abaixo)</t>
  </si>
  <si>
    <t xml:space="preserve">não verificado</t>
  </si>
  <si>
    <t xml:space="preserve">Baixa</t>
  </si>
  <si>
    <t xml:space="preserve">Confirmar nome exato / CNPJ com seu pai.</t>
  </si>
  <si>
    <t xml:space="preserve">Mastrapet</t>
  </si>
  <si>
    <t xml:space="preserve">Iperó</t>
  </si>
  <si>
    <t xml:space="preserve">Granuladora PET/PP/PS</t>
  </si>
  <si>
    <t xml:space="preserve">Moagem, aglutinação e granulação; PET, PP e PS reciclados</t>
  </si>
  <si>
    <t xml:space="preserve">(15) 99151-4210</t>
  </si>
  <si>
    <t xml:space="preserve">(11) 95450-9747</t>
  </si>
  <si>
    <t xml:space="preserve">comercial@mastrapet.com.br · mastrapet.com.br</t>
  </si>
  <si>
    <t xml:space="preserve">Granuladora mais próxima de Boituva e trabalha com PET e PP, os materiais da fita de arquear.</t>
  </si>
  <si>
    <t xml:space="preserve">https://mastrapet.com.br</t>
  </si>
  <si>
    <t xml:space="preserve">Odin Plast (Odin Ind. Termoplástica)</t>
  </si>
  <si>
    <t xml:space="preserve">Porto Feliz</t>
  </si>
  <si>
    <t xml:space="preserve">Recicladora PET/PP/PE</t>
  </si>
  <si>
    <t xml:space="preserve">Flake de PET e grânulo de PP, PE, PS, ABS</t>
  </si>
  <si>
    <t xml:space="preserve">(15) 3412-3901</t>
  </si>
  <si>
    <t xml:space="preserve">(15) 99125-3504</t>
  </si>
  <si>
    <t xml:space="preserve">contato@odinplast.com.br · odinplast.com.br</t>
  </si>
  <si>
    <t xml:space="preserve">Muito perto; granula PP e PET, então precisa de material moído.</t>
  </si>
  <si>
    <t xml:space="preserve">https://odinplast.com.br</t>
  </si>
  <si>
    <t xml:space="preserve">Reciclagem Tietê / A2 Plastic</t>
  </si>
  <si>
    <t xml:space="preserve">Tietê</t>
  </si>
  <si>
    <t xml:space="preserve">Recicladora PEAD/PEBD + triagem</t>
  </si>
  <si>
    <t xml:space="preserve">Coleta e triagem desde 1998; A2 Plastic (2023) recicla PEAD e PEBD</t>
  </si>
  <si>
    <t xml:space="preserve">(15) 3282-8433</t>
  </si>
  <si>
    <t xml:space="preserve">(15) 99858-0343</t>
  </si>
  <si>
    <t xml:space="preserve">comercial@reciclagemtiete.com.br · reciclagemtiete.com.br</t>
  </si>
  <si>
    <t xml:space="preserve">Recebe filme PE de 11 cidades e está ampliando a reciclagem mecânica.</t>
  </si>
  <si>
    <t xml:space="preserve">https://www.reciclagemtiete.com.br</t>
  </si>
  <si>
    <t xml:space="preserve">BCS Plásticos</t>
  </si>
  <si>
    <t xml:space="preserve">Sorocaba</t>
  </si>
  <si>
    <t xml:space="preserve">Granuladora pós-industrial</t>
  </si>
  <si>
    <t xml:space="preserve">Busca apara na indústria, separa, mói e granula PP, PE, PET, ABS; licença CETESB; ~25 t/mês</t>
  </si>
  <si>
    <t xml:space="preserve">(15) 3325-5742</t>
  </si>
  <si>
    <t xml:space="preserve">contato@bcsplasticos.com.br · bcsplasticos.com.br</t>
  </si>
  <si>
    <t xml:space="preserve">Capacidade de moagem pequena; vocês fazem isso em uma semana. Pode terceirizar ou comprar moído.</t>
  </si>
  <si>
    <t xml:space="preserve">https://bcsplasticos.com.br</t>
  </si>
  <si>
    <t xml:space="preserve">Cardeal Ind. de Plásticos e Serviços</t>
  </si>
  <si>
    <t xml:space="preserve">Elias Fausto</t>
  </si>
  <si>
    <t xml:space="preserve">Granuladora (licença CETESB)</t>
  </si>
  <si>
    <t xml:space="preserve">Produção de grânulos de plástico recuperado (licenças CETESB 2021)</t>
  </si>
  <si>
    <t xml:space="preserve">Geograficamente ótimo; achar telefone no Google Maps.</t>
  </si>
  <si>
    <t xml:space="preserve">cetesb.sp.gov.br (listas de licenças)</t>
  </si>
  <si>
    <t xml:space="preserve">Megplast</t>
  </si>
  <si>
    <t xml:space="preserve">Recicladora pós-industrial</t>
  </si>
  <si>
    <t xml:space="preserve">Recebe, separa e beneficia plástico industrial; flake de PP, ABS, PA, PC; ~3.600 t/ano</t>
  </si>
  <si>
    <t xml:space="preserve">(19) 3816-1607 / 3816-1577</t>
  </si>
  <si>
    <t xml:space="preserve">(19) 99764-2515</t>
  </si>
  <si>
    <t xml:space="preserve">megplast.com.br</t>
  </si>
  <si>
    <t xml:space="preserve">Média</t>
  </si>
  <si>
    <t xml:space="preserve">Possível 'MM Plást'. Mesmo perfil de recicladora do polo de Indaiatuba.</t>
  </si>
  <si>
    <t xml:space="preserve">https://megplast.com.br/</t>
  </si>
  <si>
    <t xml:space="preserve">Making Plast</t>
  </si>
  <si>
    <t xml:space="preserve">Materiais plásticos / reciclagem</t>
  </si>
  <si>
    <t xml:space="preserve">Listada em reciclagem de materiais (R. Turmalina, 139)</t>
  </si>
  <si>
    <t xml:space="preserve">(19) 3935-6595 (site) / 3935-6231</t>
  </si>
  <si>
    <t xml:space="preserve">contato@makingplast.com.br · makingplast.com.br</t>
  </si>
  <si>
    <t xml:space="preserve">Possível 'MM Plást'. Confirmar o que processam.</t>
  </si>
  <si>
    <t xml:space="preserve">https://makingplast.com.br/</t>
  </si>
  <si>
    <t xml:space="preserve">Doga Ind. e Com. de Reciclagem Plástica</t>
  </si>
  <si>
    <t xml:space="preserve">Recicladora</t>
  </si>
  <si>
    <t xml:space="preserve">Reciclagem plástica (R. Turmalina, 720)</t>
  </si>
  <si>
    <t xml:space="preserve">(19) 99609-2981</t>
  </si>
  <si>
    <t xml:space="preserve">Polo de recicladoras do Recreio Campestre Jóia.</t>
  </si>
  <si>
    <t xml:space="preserve">https://www.guiatelefone.com/indaiatuba-sp/comercio-de-produtos-e-servicos/3058831/doga-industria-e-comercio-de-reciclagem-plastica</t>
  </si>
  <si>
    <t xml:space="preserve">Reeciclar</t>
  </si>
  <si>
    <t xml:space="preserve">Granuladora PEAD/PEBD</t>
  </si>
  <si>
    <t xml:space="preserve">Grânulo de PEAD e PEBD</t>
  </si>
  <si>
    <t xml:space="preserve">(11) 93900-5727</t>
  </si>
  <si>
    <t xml:space="preserve">Baixa-média</t>
  </si>
  <si>
    <t xml:space="preserve">Granula PE; ponto de venda para filme moído.</t>
  </si>
  <si>
    <t xml:space="preserve">https://www.enfplastic.com/reeciclar</t>
  </si>
  <si>
    <t xml:space="preserve">Valoren Recuperadora de Resíduos</t>
  </si>
  <si>
    <t xml:space="preserve">Recicladora PE/PP</t>
  </si>
  <si>
    <t xml:space="preserve">Grânulo e flake de PE e PP</t>
  </si>
  <si>
    <t xml:space="preserve">(19) 3500-4448</t>
  </si>
  <si>
    <t xml:space="preserve">Trabalha com PP/PE, mesmos materiais.</t>
  </si>
  <si>
    <t xml:space="preserve">https://www.enfplastic.com/valoren</t>
  </si>
  <si>
    <t xml:space="preserve">Petim Ind. e Com. de Plásticos</t>
  </si>
  <si>
    <t xml:space="preserve">Itupeva</t>
  </si>
  <si>
    <t xml:space="preserve">Granuladora multi-resina</t>
  </si>
  <si>
    <t xml:space="preserve">Granula ABS, PEAD, PEBD, PP, PET, PS, PVC</t>
  </si>
  <si>
    <t xml:space="preserve">(11) 98237-0190</t>
  </si>
  <si>
    <t xml:space="preserve">petim.com.br</t>
  </si>
  <si>
    <t xml:space="preserve">Granuladora que aceita PP e PET.</t>
  </si>
  <si>
    <t xml:space="preserve">https://www.enfplastic.com/petim-plasticos</t>
  </si>
  <si>
    <t xml:space="preserve">Dannaplas</t>
  </si>
  <si>
    <t xml:space="preserve">Piracicaba</t>
  </si>
  <si>
    <t xml:space="preserve">Recicladora PP/PE (grande)</t>
  </si>
  <si>
    <t xml:space="preserve">Compostos e resinas recicladas de PP/PE; compra sucata pós-industrial; ~16.800 t/ano</t>
  </si>
  <si>
    <t xml:space="preserve">(19) 3414-3771</t>
  </si>
  <si>
    <t xml:space="preserve">Compras: (19) 99838-6660 · Comercial: (19) 99797-2355</t>
  </si>
  <si>
    <t xml:space="preserve">compras2@dannaplas.com.br · dannaplas.com.br</t>
  </si>
  <si>
    <t xml:space="preserve">Grande e compra sucata de PP/PE. Ligar no WhatsApp de Compras.</t>
  </si>
  <si>
    <t xml:space="preserve">https://dannaplas.com.br/</t>
  </si>
  <si>
    <t xml:space="preserve">Bonafé Plásticos</t>
  </si>
  <si>
    <t xml:space="preserve">Recicladora PP/PE</t>
  </si>
  <si>
    <t xml:space="preserve">Moagem, extrusão e granulação de PP/PE; compra borra, apara e pallet</t>
  </si>
  <si>
    <t xml:space="preserve">(19) 3185-0465</t>
  </si>
  <si>
    <t xml:space="preserve">(12) 97402-2159</t>
  </si>
  <si>
    <t xml:space="preserve">contato@bonafeplasticos.com.br · bonafeplasticos.com.br</t>
  </si>
  <si>
    <t xml:space="preserve">Compra apara de PP e granula. Comprador do moído ou parceiro de volume.</t>
  </si>
  <si>
    <t xml:space="preserve">https://bonafeplasticos.com.br/</t>
  </si>
  <si>
    <t xml:space="preserve">Barreflex Reciclagem</t>
  </si>
  <si>
    <t xml:space="preserve">Sumaré</t>
  </si>
  <si>
    <t xml:space="preserve">Recicladora PE/PP (filme)</t>
  </si>
  <si>
    <t xml:space="preserve">Polímeros reciclados de PE/PP a partir de aparas PIR e PCR; granulação e lavagem</t>
  </si>
  <si>
    <t xml:space="preserve">(19) 3246-1374</t>
  </si>
  <si>
    <t xml:space="preserve">contato@barreflex.com.br · barreflex.com.br</t>
  </si>
  <si>
    <t xml:space="preserve">Forte em filme PE pós-industrial. Bom comprador de filme e ráfia moídos.</t>
  </si>
  <si>
    <t xml:space="preserve">https://www.barreflex.com.br/</t>
  </si>
  <si>
    <t xml:space="preserve">WX8 Plásticos</t>
  </si>
  <si>
    <t xml:space="preserve">Campinas</t>
  </si>
  <si>
    <t xml:space="preserve">Granuladora + transformadora</t>
  </si>
  <si>
    <t xml:space="preserve">Granula resíduo pós-industrial de clientes; faz filme, saco valvulado e saco de lixo com reciclado</t>
  </si>
  <si>
    <t xml:space="preserve">(19) 3216-4699</t>
  </si>
  <si>
    <t xml:space="preserve">(19) 99881-9186 (cel.)</t>
  </si>
  <si>
    <t xml:space="preserve">contato@wx8plasticos.com.br · wx8plasticos.com.br</t>
  </si>
  <si>
    <t xml:space="preserve">Consome PE/PP reciclado nos próprios produtos.</t>
  </si>
  <si>
    <t xml:space="preserve">https://wx8plasticos.com.br/</t>
  </si>
  <si>
    <t xml:space="preserve">CBJ Reciclagem de Plásticos</t>
  </si>
  <si>
    <t xml:space="preserve">Aparista industrial / recicladora</t>
  </si>
  <si>
    <t xml:space="preserve">Compra resíduo industrial; descaracterização e classificação; ~100 t/mês; ISO 14001</t>
  </si>
  <si>
    <t xml:space="preserve">(19) 3266-8360</t>
  </si>
  <si>
    <t xml:space="preserve">contato@cbjreciclagem.com.br · cbjreciclagem.com.br</t>
  </si>
  <si>
    <t xml:space="preserve">Pode terceirizar moagem de PP/PE ou comprar moído.</t>
  </si>
  <si>
    <t xml:space="preserve">https://cbjreciclagem.com.br/</t>
  </si>
  <si>
    <t xml:space="preserve">Zupiplast</t>
  </si>
  <si>
    <t xml:space="preserve">Jundiaí</t>
  </si>
  <si>
    <t xml:space="preserve">Granuladora PP/PE/PS/ABS</t>
  </si>
  <si>
    <t xml:space="preserve">Separação, moagem, aglutinação e extrusão</t>
  </si>
  <si>
    <t xml:space="preserve">(11) 4815-3882</t>
  </si>
  <si>
    <t xml:space="preserve">(11) 97144-3164</t>
  </si>
  <si>
    <t xml:space="preserve">zupiplast.com.br</t>
  </si>
  <si>
    <t xml:space="preserve">O moído entra direto na extrusora deles.</t>
  </si>
  <si>
    <t xml:space="preserve">https://zupiplast.com.br/contato/</t>
  </si>
  <si>
    <t xml:space="preserve">Complast Polímeros</t>
  </si>
  <si>
    <t xml:space="preserve">Várzea Paulista</t>
  </si>
  <si>
    <t xml:space="preserve">Granuladora PP/PE</t>
  </si>
  <si>
    <t xml:space="preserve">Granuladora desde 1997; compra pós-indústria e pós-consumo, busca no cliente; laboratório</t>
  </si>
  <si>
    <t xml:space="preserve">(11) 4596-2525</t>
  </si>
  <si>
    <t xml:space="preserve">(11) 98908-4399</t>
  </si>
  <si>
    <t xml:space="preserve">comercial@complastpolimeros.com.br · complastpolimeros.com.br</t>
  </si>
  <si>
    <t xml:space="preserve">Procura fornecedor mensal de PP/PE.</t>
  </si>
  <si>
    <t xml:space="preserve">https://complastpolimeros.com.br</t>
  </si>
  <si>
    <t xml:space="preserve">Infinity Plastics do Brasil</t>
  </si>
  <si>
    <t xml:space="preserve">Santa Bárbara d'Oeste</t>
  </si>
  <si>
    <t xml:space="preserve">Recuperação de plásticos</t>
  </si>
  <si>
    <t xml:space="preserve">Comércio e reciclagem de plásticos</t>
  </si>
  <si>
    <t xml:space="preserve">(19) 3458-5297</t>
  </si>
  <si>
    <t xml:space="preserve">Polo de recuperadoras de SBO.</t>
  </si>
  <si>
    <t xml:space="preserve">https://www.guiatelefone.com/santa-barbara-d-oeste-sp/comercio-de-produtos-e-servicos/3237041/infinity-plastics-do-brasil-comercio-e-reciclagem-de-plasticos</t>
  </si>
  <si>
    <t xml:space="preserve">Camplast Recuperadora de Plásticos</t>
  </si>
  <si>
    <t xml:space="preserve">Recuperadora e comércio de plásticos</t>
  </si>
  <si>
    <t xml:space="preserve">(19) 3455-7638</t>
  </si>
  <si>
    <t xml:space="preserve">Média-baixa</t>
  </si>
  <si>
    <t xml:space="preserve">https://www.guiatelefone.com/santa-barbara-d-oeste-sp/comercio-de-produtos-e-servicos/2860170/camplast-recuperadora-e-comercio-de-plasticos</t>
  </si>
  <si>
    <t xml:space="preserve">Ciel Canova Recuperadora de Plásticos</t>
  </si>
  <si>
    <t xml:space="preserve">Recuperadora de plásticos</t>
  </si>
  <si>
    <t xml:space="preserve">(19) 3463-7355</t>
  </si>
  <si>
    <t xml:space="preserve">https://www.guiatelefone.com/santa-barbara-d-oeste-sp/comercio-de-produtos-e-servicos/2927706/ciel-canova-recuperadora-de-plasticos</t>
  </si>
  <si>
    <t xml:space="preserve">Primeplas</t>
  </si>
  <si>
    <t xml:space="preserve">Itatiba</t>
  </si>
  <si>
    <t xml:space="preserve">Recicladora PP</t>
  </si>
  <si>
    <t xml:space="preserve">Recicla PP; compra apara, borra e resíduo de PP; moagem, aglutinação, extrusão</t>
  </si>
  <si>
    <t xml:space="preserve">Compras: (11) 94708-4599 · Vendas: (11) 97646-3002</t>
  </si>
  <si>
    <t xml:space="preserve">suprimentos@primeplas.com.br · primeplas.com.br</t>
  </si>
  <si>
    <t xml:space="preserve">Alvo certo para fita de PP e ráfia moídas. Um pouco fora do raio.</t>
  </si>
  <si>
    <t xml:space="preserve">https://primeplas.com.br/</t>
  </si>
  <si>
    <t xml:space="preserve">Fibertex Nãotecidos</t>
  </si>
  <si>
    <t xml:space="preserve">Cerquilho</t>
  </si>
  <si>
    <t xml:space="preserve">Não-tecido</t>
  </si>
  <si>
    <t xml:space="preserve">Não-tecido spunlace</t>
  </si>
  <si>
    <t xml:space="preserve">(15) 3384-8400</t>
  </si>
  <si>
    <t xml:space="preserve">marketing.br@fibertex.com</t>
  </si>
  <si>
    <t xml:space="preserve">A empresa mais próxima. Confirmar se a apara é PP ou poliéster/viscose.</t>
  </si>
  <si>
    <t xml:space="preserve">https://www.fibertex.com/contact/subsidiaries/brazil</t>
  </si>
  <si>
    <t xml:space="preserve">Cipatex</t>
  </si>
  <si>
    <t xml:space="preserve">Laminados de PVC</t>
  </si>
  <si>
    <t xml:space="preserve">Laminados sintéticos de PVC, geomembranas</t>
  </si>
  <si>
    <t xml:space="preserve">(15) 3284-9000</t>
  </si>
  <si>
    <t xml:space="preserve">cipatex.com.br</t>
  </si>
  <si>
    <t xml:space="preserve">Perto, mas é PVC: só vale se aceitarem destino separado. Baixa prioridade.</t>
  </si>
  <si>
    <t xml:space="preserve">https://www.cipatex.com.br/</t>
  </si>
  <si>
    <t xml:space="preserve">Luzplastik</t>
  </si>
  <si>
    <t xml:space="preserve">Sacos e filmes PE</t>
  </si>
  <si>
    <t xml:space="preserve">Sacos industriais e de lixo, stretch, shrink, bolha; usa virgem e reciclado</t>
  </si>
  <si>
    <t xml:space="preserve">(15) 99676-2445</t>
  </si>
  <si>
    <t xml:space="preserve">luzplastik.com.br</t>
  </si>
  <si>
    <t xml:space="preserve">Gera apara de PE e também pode comprar moído.</t>
  </si>
  <si>
    <t xml:space="preserve">https://luzplastik.com.br/</t>
  </si>
  <si>
    <t xml:space="preserve">Vitopel do Brasil</t>
  </si>
  <si>
    <t xml:space="preserve">Votorantim</t>
  </si>
  <si>
    <t xml:space="preserve">Filme BOPP (grande)</t>
  </si>
  <si>
    <t xml:space="preserve">Uma das maiores fabricantes de filme BOPP do país</t>
  </si>
  <si>
    <t xml:space="preserve">(15) 3242-9800 (diretório)</t>
  </si>
  <si>
    <t xml:space="preserve">Muito refile de bobina de PP. Pode ter reciclagem interna; oferecer o excedente.</t>
  </si>
  <si>
    <t xml:space="preserve">https://indexabrasil.com.br/sp/votorantim/vitopel-do-brasil/</t>
  </si>
  <si>
    <t xml:space="preserve">Strapet Embalagens</t>
  </si>
  <si>
    <t xml:space="preserve">Salto de Pirapora</t>
  </si>
  <si>
    <t xml:space="preserve">Fita de arquear PET/PP</t>
  </si>
  <si>
    <t xml:space="preserve">Cintas de arqueação PET e PP, fitas adesivas, stretch; unidade de 12 mil m²</t>
  </si>
  <si>
    <t xml:space="preserve">(15) 3500-9776</t>
  </si>
  <si>
    <t xml:space="preserve">strapet.com.br</t>
  </si>
  <si>
    <t xml:space="preserve">Média-alta</t>
  </si>
  <si>
    <t xml:space="preserve">Provável fabricante de fita perto de Boituva; gera apara de PP e PET.</t>
  </si>
  <si>
    <t xml:space="preserve">https://www.strapet.com.br/quem-somos/</t>
  </si>
  <si>
    <t xml:space="preserve">Nova Têxtil Brasil</t>
  </si>
  <si>
    <t xml:space="preserve">Ráfia / big bag</t>
  </si>
  <si>
    <t xml:space="preserve">Big bags e sacos de ráfia</t>
  </si>
  <si>
    <t xml:space="preserve">(15) 99735-7496</t>
  </si>
  <si>
    <t xml:space="preserve">novatextilbrasil.com.br</t>
  </si>
  <si>
    <t xml:space="preserve">Corte e costura geram retalho de ráfia PP.</t>
  </si>
  <si>
    <t xml:space="preserve">https://novatextilbrasil.com.br/</t>
  </si>
  <si>
    <t xml:space="preserve">Poly-Plastic</t>
  </si>
  <si>
    <t xml:space="preserve">Filme stretch / shrink</t>
  </si>
  <si>
    <t xml:space="preserve">Fabricante de filme stretch, shrink e técnico há +20 anos</t>
  </si>
  <si>
    <t xml:space="preserve">(15) 99794-0675 · (15) 99719-5772</t>
  </si>
  <si>
    <t xml:space="preserve">polyplastic.com.br</t>
  </si>
  <si>
    <t xml:space="preserve">Extrusão de PE: apara e borra de stretch.</t>
  </si>
  <si>
    <t xml:space="preserve">https://polyplastic.com.br/quem-somos/</t>
  </si>
  <si>
    <t xml:space="preserve">Signode Brasil</t>
  </si>
  <si>
    <t xml:space="preserve">Cabreúva</t>
  </si>
  <si>
    <t xml:space="preserve">Fita de arquear aço/PP/PET</t>
  </si>
  <si>
    <t xml:space="preserve">Fitas de arquear, filme stretch, cantoneiras</t>
  </si>
  <si>
    <t xml:space="preserve">(11) 4529-8400</t>
  </si>
  <si>
    <t xml:space="preserve">contato@signode.com.br · signode.com/pt-br</t>
  </si>
  <si>
    <t xml:space="preserve">Maior fabricante de arqueação da região. Perguntar se extrudam fita plástica em Cabreúva.</t>
  </si>
  <si>
    <t xml:space="preserve">https://www.signode.com/pt-br/</t>
  </si>
  <si>
    <t xml:space="preserve">Finepack</t>
  </si>
  <si>
    <t xml:space="preserve">Embalagem flexível (extrusão PEBD)</t>
  </si>
  <si>
    <t xml:space="preserve">Extrusão de PEBD, impressão, laminação, metalização</t>
  </si>
  <si>
    <t xml:space="preserve">(11) 4496-8800</t>
  </si>
  <si>
    <t xml:space="preserve">(11) 94797-7993</t>
  </si>
  <si>
    <t xml:space="preserve">vendas@finepack.com.br · finepack.com.br</t>
  </si>
  <si>
    <t xml:space="preserve">Apara de filme PE em volume.</t>
  </si>
  <si>
    <t xml:space="preserve">https://www.finepack.com.br/</t>
  </si>
  <si>
    <t xml:space="preserve">Ecoway</t>
  </si>
  <si>
    <t xml:space="preserve">Usa filme/PE/PP moído como matéria-prima</t>
  </si>
  <si>
    <t xml:space="preserve">Chapas e telhas feitas de resíduo industrial (filme laminado, PE, PP)</t>
  </si>
  <si>
    <t xml:space="preserve">(11) 4496-3764 / 4496-3778</t>
  </si>
  <si>
    <t xml:space="preserve">(11) 91017-8152</t>
  </si>
  <si>
    <t xml:space="preserve">vendas@ecoway.com.br · ecoway.com.br</t>
  </si>
  <si>
    <t xml:space="preserve">Comprador potencial de filme e ráfia moídos.</t>
  </si>
  <si>
    <t xml:space="preserve">https://www.ecoway.com.br/</t>
  </si>
  <si>
    <t xml:space="preserve">Tectêxtil Embalagens Têxteis</t>
  </si>
  <si>
    <t xml:space="preserve">Rio das Pedras</t>
  </si>
  <si>
    <t xml:space="preserve">Ráfia / big bag (grande)</t>
  </si>
  <si>
    <t xml:space="preserve">Big bags, sacaria e FFS de PP/PE com tecelagem própria</t>
  </si>
  <si>
    <t xml:space="preserve">(19) 3424-1611</t>
  </si>
  <si>
    <t xml:space="preserve">(19) 99181-8003</t>
  </si>
  <si>
    <t xml:space="preserve">tectextil.com.br</t>
  </si>
  <si>
    <t xml:space="preserve">Grande geradora de apara de ráfia e big bag.</t>
  </si>
  <si>
    <t xml:space="preserve">https://www.tectextil.com.br/contato/</t>
  </si>
  <si>
    <t xml:space="preserve">Grupo Embrasa</t>
  </si>
  <si>
    <t xml:space="preserve">Ráfia / big bag (extrusão de fita)</t>
  </si>
  <si>
    <t xml:space="preserve">Sacaria de ráfia PP/PE e big bags; faz extrusão de fita desde 1980</t>
  </si>
  <si>
    <t xml:space="preserve">(19) 3864-4100</t>
  </si>
  <si>
    <t xml:space="preserve">(19) 99848-3707</t>
  </si>
  <si>
    <t xml:space="preserve">embrasa@embrasa.com.br · embrasa.com.br</t>
  </si>
  <si>
    <t xml:space="preserve">Extrusão de fita + tecelagem = muita apara longa, ideal para o picador de esteira.</t>
  </si>
  <si>
    <t xml:space="preserve">https://www.embrasa.com.br/</t>
  </si>
  <si>
    <t xml:space="preserve">Fábrika do Fitilho</t>
  </si>
  <si>
    <t xml:space="preserve">Santana de Parnaíba</t>
  </si>
  <si>
    <t xml:space="preserve">Fitilho/fita de PP reciclado</t>
  </si>
  <si>
    <t xml:space="preserve">Fitilho de PP 100% reciclado e fita para arqueação</t>
  </si>
  <si>
    <t xml:space="preserve">(11) 4163-5303</t>
  </si>
  <si>
    <t xml:space="preserve">(11) 94002-8382</t>
  </si>
  <si>
    <t xml:space="preserve">fabrikadofitilho.com.br</t>
  </si>
  <si>
    <t xml:space="preserve">Usa PP reciclado: compra moído ou terceiriza moagem do refugo.</t>
  </si>
  <si>
    <t xml:space="preserve">https://fabrikadofitilho.com.br/</t>
  </si>
  <si>
    <t xml:space="preserve">Profil (fios de PP)</t>
  </si>
  <si>
    <t xml:space="preserve">Nova Odessa</t>
  </si>
  <si>
    <t xml:space="preserve">Fiação de PP/poliéster</t>
  </si>
  <si>
    <t xml:space="preserve">Multifilamento PP/PES, 500 t/mês</t>
  </si>
  <si>
    <t xml:space="preserve">(19) 3498-1500</t>
  </si>
  <si>
    <t xml:space="preserve">Comercial: (19) 98953-5145</t>
  </si>
  <si>
    <t xml:space="preserve">sac@profil.com.br · profil.com.br</t>
  </si>
  <si>
    <t xml:space="preserve">Borra e apara de fio de PP: material longo, ideal para o picador de esteira.</t>
  </si>
  <si>
    <t xml:space="preserve">https://profil.com.br/</t>
  </si>
  <si>
    <t xml:space="preserve">Papiro Gestão em Recicláveis</t>
  </si>
  <si>
    <t xml:space="preserve">Gestão de recicláveis</t>
  </si>
  <si>
    <t xml:space="preserve">Triagem, armazenagem e logística de plástico, papel e metal</t>
  </si>
  <si>
    <t xml:space="preserve">(15) 3261-3719</t>
  </si>
  <si>
    <t xml:space="preserve">administrativo@papiroreciclagem.com.br · papiroreciclagem.com.br</t>
  </si>
  <si>
    <t xml:space="preserve">Perto de Boituva.</t>
  </si>
  <si>
    <t xml:space="preserve">https://papiroreciclagem.com.br</t>
  </si>
  <si>
    <t xml:space="preserve">Ecopel</t>
  </si>
  <si>
    <t xml:space="preserve">Aparista</t>
  </si>
  <si>
    <t xml:space="preserve">Compra plástico pré e pós-consumo (PET, PP, PEAD, PEBD); vende aparas</t>
  </si>
  <si>
    <t xml:space="preserve">(15) 3033-2326</t>
  </si>
  <si>
    <t xml:space="preserve">(15) 99885-4274</t>
  </si>
  <si>
    <t xml:space="preserve">comercial@ecopel.eco.br · ecopel.eco.br</t>
  </si>
  <si>
    <t xml:space="preserve">Moído vale mais na revenda; pode contratar moagem.</t>
  </si>
  <si>
    <t xml:space="preserve">https://ecopel.eco.br</t>
  </si>
  <si>
    <t xml:space="preserve">PSA Reciclagem</t>
  </si>
  <si>
    <t xml:space="preserve">Aparista (filme PE)</t>
  </si>
  <si>
    <t xml:space="preserve">Compra aparas: stretch, cristal, bolha. Contato: Eduardo Camargo</t>
  </si>
  <si>
    <t xml:space="preserve">(15) 99151-2798</t>
  </si>
  <si>
    <t xml:space="preserve">psareciclagem.com.br</t>
  </si>
  <si>
    <t xml:space="preserve">Junta filme PE, um dos materiais de vocês.</t>
  </si>
  <si>
    <t xml:space="preserve">https://psareciclagem.com.br</t>
  </si>
  <si>
    <t xml:space="preserve">Grupo Salmeron</t>
  </si>
  <si>
    <t xml:space="preserve">Gestão de resíduos industriais</t>
  </si>
  <si>
    <t xml:space="preserve">Coleta, beneficiamento e venda de recicláveis; trituração; +40 anos</t>
  </si>
  <si>
    <t xml:space="preserve">(15) 3232-2425</t>
  </si>
  <si>
    <t xml:space="preserve">(15) 99133-8728</t>
  </si>
  <si>
    <t xml:space="preserve">comercial@gruposalmeron.com.br · gruposalmeron.com.br</t>
  </si>
  <si>
    <t xml:space="preserve">Grande volume industrial; pode terceirizar moagem.</t>
  </si>
  <si>
    <t xml:space="preserve">https://gruposalmeron.com.br</t>
  </si>
  <si>
    <t xml:space="preserve">Grupo DS Ambiental</t>
  </si>
  <si>
    <t xml:space="preserve">Moagem, descaracterização e prensa de plástico</t>
  </si>
  <si>
    <t xml:space="preserve">(15) 3227-7922 / 3227-7906</t>
  </si>
  <si>
    <t xml:space="preserve">contato@dsambiental.com.br · dsambiental.com.br</t>
  </si>
  <si>
    <t xml:space="preserve">Pode terceirizar picos de moagem.</t>
  </si>
  <si>
    <t xml:space="preserve">https://dsambiental.com.br</t>
  </si>
  <si>
    <t xml:space="preserve">Alp Ambiental</t>
  </si>
  <si>
    <t xml:space="preserve">Coleta de plástico, papel, vidro, metal; pátio de 3.000 m²</t>
  </si>
  <si>
    <t xml:space="preserve">(15) 3225-2259</t>
  </si>
  <si>
    <t xml:space="preserve">alpambiental.com.br</t>
  </si>
  <si>
    <t xml:space="preserve">Confirmar se ainda está ativa.</t>
  </si>
  <si>
    <t xml:space="preserve">https://www.enfplastic.com/alp-ambiental</t>
  </si>
  <si>
    <t xml:space="preserve">Aparas Rosário Pereira</t>
  </si>
  <si>
    <t xml:space="preserve">Itu</t>
  </si>
  <si>
    <t xml:space="preserve">Aparista (grande)</t>
  </si>
  <si>
    <t xml:space="preserve">Coleta, separa e enfarda; ~21.600 t/ano</t>
  </si>
  <si>
    <t xml:space="preserve">(11) 4022-3343</t>
  </si>
  <si>
    <t xml:space="preserve">(11) 94558-8360</t>
  </si>
  <si>
    <t xml:space="preserve">contato@aparasrosariopereira.com.br · aparasrosariopereira.com.br</t>
  </si>
  <si>
    <t xml:space="preserve">Hoje só enfarda; moer agregaria valor ao plástico deles.</t>
  </si>
  <si>
    <t xml:space="preserve">https://www.aparasrosariopereira.com.br</t>
  </si>
  <si>
    <t xml:space="preserve">Anunciante de moagem de fita PET/PP (MF Rural)</t>
  </si>
  <si>
    <t xml:space="preserve">Monte Mor</t>
  </si>
  <si>
    <t xml:space="preserve">Moagem de fita de arquear</t>
  </si>
  <si>
    <t xml:space="preserve">Anuncia moagem de sucata de fita de arquear PET verde e PP branca</t>
  </si>
  <si>
    <t xml:space="preserve">Formulário 'Fale com o anunciante' no MF Rural</t>
  </si>
  <si>
    <t xml:space="preserve">Trabalha exatamente com fita. Pode ser a 'empresa de Monte Mor'. Parceiro de volume ou concorrente.</t>
  </si>
  <si>
    <t xml:space="preserve">https://www.mfrural.com.br/detalhe/235691/sucatas-de-fitas-de-arquear-pet</t>
  </si>
  <si>
    <t xml:space="preserve">Eco Sucatas</t>
  </si>
  <si>
    <t xml:space="preserve">Aparista / sucata</t>
  </si>
  <si>
    <t xml:space="preserve">Coleta, seleciona, enfarda e descaracteriza recicláveis; pátio de 10 mil m²</t>
  </si>
  <si>
    <t xml:space="preserve">(19) 3476-3000</t>
  </si>
  <si>
    <t xml:space="preserve">(19) 99273-4670</t>
  </si>
  <si>
    <t xml:space="preserve">comercial@sucataseco.com.br · sucataseco.com.br</t>
  </si>
  <si>
    <t xml:space="preserve">Volume de plástico enfardado.</t>
  </si>
  <si>
    <t xml:space="preserve">https://sucataseco.com.br/</t>
  </si>
  <si>
    <t xml:space="preserve">Tombstone Reciclagem</t>
  </si>
  <si>
    <t xml:space="preserve">Paulínia</t>
  </si>
  <si>
    <t xml:space="preserve">Compra e vende PP, PEAD, PEBD, PET, PS</t>
  </si>
  <si>
    <t xml:space="preserve">(19) 3933-3593 / 3933-2650</t>
  </si>
  <si>
    <t xml:space="preserve">tombstonereciclagem@uol.com.br</t>
  </si>
  <si>
    <t xml:space="preserve">Aparista regional.</t>
  </si>
  <si>
    <t xml:space="preserve">https://www.tombstonereciclagem.com.br/compra-e-venda-plastico</t>
  </si>
  <si>
    <t xml:space="preserve">Região</t>
  </si>
  <si>
    <t xml:space="preserve">Perfil</t>
  </si>
  <si>
    <t xml:space="preserve">Serviços</t>
  </si>
  <si>
    <t xml:space="preserve">Materiais / capacidade</t>
  </si>
  <si>
    <t xml:space="preserve">Site / redes</t>
  </si>
  <si>
    <t xml:space="preserve">Como vendem</t>
  </si>
  <si>
    <t xml:space="preserve">Ponto forte</t>
  </si>
  <si>
    <t xml:space="preserve">Ponto fraco / brecha</t>
  </si>
  <si>
    <t xml:space="preserve">Região (até ~100 km)</t>
  </si>
  <si>
    <t xml:space="preserve">Alassia</t>
  </si>
  <si>
    <t xml:space="preserve">Moagem/granulação para terceiros + compra apara</t>
  </si>
  <si>
    <t xml:space="preserve">Moagem (3 moinhos + triturador de borra), granulação, micronização; 'industrialização para terceiros'</t>
  </si>
  <si>
    <t xml:space="preserve">PVC, PEAD, PEBD, PP · desde 1995</t>
  </si>
  <si>
    <t xml:space="preserve">(15) 3223-1338 / 3223-1470 (WhatsApp)</t>
  </si>
  <si>
    <t xml:space="preserve">alassia.com.br</t>
  </si>
  <si>
    <t xml:space="preserve">Presta serviço E compra apara/refugo</t>
  </si>
  <si>
    <t xml:space="preserve">Tempo de mercado; faz serviço declarado</t>
  </si>
  <si>
    <t xml:space="preserve">Não divulga preço</t>
  </si>
  <si>
    <t xml:space="preserve">https://www.alassia.com.br</t>
  </si>
  <si>
    <t xml:space="preserve">Poliplástico Sorocaba</t>
  </si>
  <si>
    <t xml:space="preserve">Recicladora que compra apara</t>
  </si>
  <si>
    <t xml:space="preserve">Moagem, aglutinação, regranulação, descaracterização; fabrica cantoneira CantonPlast</t>
  </si>
  <si>
    <t xml:space="preserve">PEAD, PP, PEBD</t>
  </si>
  <si>
    <t xml:space="preserve">(15) 99127-1772 (não verificado)</t>
  </si>
  <si>
    <t xml:space="preserve">Site fora do ar no teste · Facebook</t>
  </si>
  <si>
    <t xml:space="preserve">Compra resíduo pós-industrial (tem 'compradora de resíduos')</t>
  </si>
  <si>
    <t xml:space="preserve">Produto próprio com reciclado</t>
  </si>
  <si>
    <t xml:space="preserve">Site fora do ar</t>
  </si>
  <si>
    <t xml:space="preserve">facebook.com/poliplasticosorocaba</t>
  </si>
  <si>
    <t xml:space="preserve">Coleta programada, triagem, lavagem, moagem, granulação; CETESB</t>
  </si>
  <si>
    <t xml:space="preserve">PP, PE, PET flake, ABS · 25 t/mês</t>
  </si>
  <si>
    <t xml:space="preserve">Site bom e moderno · sem redes sociais</t>
  </si>
  <si>
    <t xml:space="preserve">Compra apara ('vender resíduo' no formulário); resposta em 24 h</t>
  </si>
  <si>
    <t xml:space="preserve">Site profissional</t>
  </si>
  <si>
    <t xml:space="preserve">Capacidade pequena; sem redes; sem preço</t>
  </si>
  <si>
    <t xml:space="preserve">https://bcsplasticos.com.br/</t>
  </si>
  <si>
    <t xml:space="preserve">DS Ambiental</t>
  </si>
  <si>
    <t xml:space="preserve">Gestora de resíduos</t>
  </si>
  <si>
    <t xml:space="preserve">Gestão total, descaracterização/destruição, coleta com frota (roll-on), compra de recicláveis</t>
  </si>
  <si>
    <t xml:space="preserve">Vários · ISO 9001/14001, CETESB, IBAMA</t>
  </si>
  <si>
    <t xml:space="preserve">Site + Facebook + Instagram</t>
  </si>
  <si>
    <t xml:space="preserve">Vende conformidade: certificado de destinação, laudo, rastreabilidade, 'Aterro Zero'</t>
  </si>
  <si>
    <t xml:space="preserve">Conformidade e logística</t>
  </si>
  <si>
    <t xml:space="preserve">Moagem de plástico não é o foco; pode virar parceira</t>
  </si>
  <si>
    <t xml:space="preserve">https://dsambiental.com.br/</t>
  </si>
  <si>
    <t xml:space="preserve">Aparista + descaracterização</t>
  </si>
  <si>
    <t xml:space="preserve">Compra e venda de aparas, descaracterização com triturador e prensa, coleta com caçamba</t>
  </si>
  <si>
    <t xml:space="preserve">Plástico e papel</t>
  </si>
  <si>
    <t xml:space="preserve">Site de 2018 · sem WhatsApp nem redes</t>
  </si>
  <si>
    <t xml:space="preserve">Cliente pode acompanhar a descaracterização</t>
  </si>
  <si>
    <t xml:space="preserve">Logística de caçamba</t>
  </si>
  <si>
    <t xml:space="preserve">Presença online fraca/desatualizada</t>
  </si>
  <si>
    <t xml:space="preserve">https://ecopel.eco.br/servicos-002/</t>
  </si>
  <si>
    <t xml:space="preserve">Moagem PP e PEAD (anônimo B2Blue)</t>
  </si>
  <si>
    <t xml:space="preserve">Moageiro comprador</t>
  </si>
  <si>
    <t xml:space="preserve">Compra PP enfardado, 'PP boca de moinho' e PEAD; vende moído/granulado</t>
  </si>
  <si>
    <t xml:space="preserve">PP, PEAD</t>
  </si>
  <si>
    <t xml:space="preserve">Oculto (precisa cadastro na B2Blue)</t>
  </si>
  <si>
    <t xml:space="preserve">Perfil na B2Blue</t>
  </si>
  <si>
    <t xml:space="preserve">Se apresenta como comprador, não prestador</t>
  </si>
  <si>
    <t xml:space="preserve">-</t>
  </si>
  <si>
    <t xml:space="preserve">Anônimo</t>
  </si>
  <si>
    <t xml:space="preserve">https://b2blue.com/detalhes-empresa/60654/moagem-plastico-pp-e-pead/sorocaba/sp/</t>
  </si>
  <si>
    <t xml:space="preserve">Flex Ambiental</t>
  </si>
  <si>
    <t xml:space="preserve">Salto</t>
  </si>
  <si>
    <t xml:space="preserve">Moagem/descaracterização + gestão</t>
  </si>
  <si>
    <t xml:space="preserve">Moagem e descaracterização de borra, peça e sobra industrial; compra e venda de insumos</t>
  </si>
  <si>
    <t xml:space="preserve">Plásticos industriais · ISO 9001</t>
  </si>
  <si>
    <t xml:space="preserve">(11) 94214-7251 (WhatsApp)</t>
  </si>
  <si>
    <t xml:space="preserve">Site + Instagram + Facebook + LinkedIn</t>
  </si>
  <si>
    <t xml:space="preserve">ISO 9001, selo ESG, 'zero aterro', +20 anos, visita técnica</t>
  </si>
  <si>
    <t xml:space="preserve">Marketing completo</t>
  </si>
  <si>
    <t xml:space="preserve">https://www.flexambiental.eco.br/</t>
  </si>
  <si>
    <t xml:space="preserve">Beneficiamento para terceiros</t>
  </si>
  <si>
    <t xml:space="preserve">Recebe, separa, beneficia e devolve matéria-prima; descaracterização</t>
  </si>
  <si>
    <t xml:space="preserve">PP, ABS, PA, PC · ~3.600 t/ano</t>
  </si>
  <si>
    <t xml:space="preserve">megplast.com.br (instável)</t>
  </si>
  <si>
    <t xml:space="preserve">Industrialização por encomenda</t>
  </si>
  <si>
    <t xml:space="preserve">Site instável</t>
  </si>
  <si>
    <t xml:space="preserve">Gedel Plásticos</t>
  </si>
  <si>
    <t xml:space="preserve">Coleta, moagem, secagem, dupla granulação, pigmentação; devolve grão em big bag de 1 t</t>
  </si>
  <si>
    <t xml:space="preserve">PEBD, PEAD, PP, PS, ABS, PA6, POM</t>
  </si>
  <si>
    <t xml:space="preserve">(19) 3438-7211 (WhatsApp)</t>
  </si>
  <si>
    <t xml:space="preserve">'Redução de custo e reaproveitamento'; cliente recebe o grão de volta</t>
  </si>
  <si>
    <t xml:space="preserve">Serviço completo</t>
  </si>
  <si>
    <t xml:space="preserve">Foco em granulado, não moagem simples</t>
  </si>
  <si>
    <t xml:space="preserve">https://gedelplasticos.com.br/servicos/</t>
  </si>
  <si>
    <t xml:space="preserve">Plásticos Barrichello</t>
  </si>
  <si>
    <t xml:space="preserve">Prestação de serviço de moagem</t>
  </si>
  <si>
    <t xml:space="preserve">Moagem de PEAD, trituração de borra, refugo e peça grande; lavagem; granulometria padronizada</t>
  </si>
  <si>
    <t xml:space="preserve">PEAD, borras, peças grandes</t>
  </si>
  <si>
    <t xml:space="preserve">(19) 97107-9516 (WhatsApp)</t>
  </si>
  <si>
    <t xml:space="preserve">Site novo (2026) + Facebook + Instagram</t>
  </si>
  <si>
    <t xml:space="preserve">'Solicitar orçamento'</t>
  </si>
  <si>
    <t xml:space="preserve">Posicionado como serviço</t>
  </si>
  <si>
    <t xml:space="preserve">Foco em rígidos, não fita/filme</t>
  </si>
  <si>
    <t xml:space="preserve">https://plasticosbarrichello.com.br/</t>
  </si>
  <si>
    <t xml:space="preserve">CBJ Reciclagem</t>
  </si>
  <si>
    <t xml:space="preserve">Recicladora + coleta</t>
  </si>
  <si>
    <t xml:space="preserve">Triagem, moagem, retirada de metal, extrusão, granulação; frota e roll-on</t>
  </si>
  <si>
    <t xml:space="preserve">Vários · 100 t/mês · ISO 14001</t>
  </si>
  <si>
    <t xml:space="preserve">Site + Facebook</t>
  </si>
  <si>
    <t xml:space="preserve">'Recicle os resíduos da sua empresa'; não deixa claro se cobra ou compra</t>
  </si>
  <si>
    <t xml:space="preserve">Estrutura completa</t>
  </si>
  <si>
    <t xml:space="preserve">Pouca rede social</t>
  </si>
  <si>
    <t xml:space="preserve">Tombstone</t>
  </si>
  <si>
    <t xml:space="preserve">Aparista / gestão</t>
  </si>
  <si>
    <t xml:space="preserve">Coleta, enfardamento, compra e venda de resíduo industrial</t>
  </si>
  <si>
    <t xml:space="preserve">PP, PEAD, PEBD, PET</t>
  </si>
  <si>
    <t xml:space="preserve">(19) 3933-3593</t>
  </si>
  <si>
    <t xml:space="preserve">Site com SEO por cidade + YouTube</t>
  </si>
  <si>
    <t xml:space="preserve">Página por cidade (Tatuí, Boituva, Cerquilho...)</t>
  </si>
  <si>
    <t xml:space="preserve">Aparece no Google para a região</t>
  </si>
  <si>
    <t xml:space="preserve">Não faz moagem como serviço</t>
  </si>
  <si>
    <t xml:space="preserve">https://www.tombstonereciclagem.com.br/</t>
  </si>
  <si>
    <t xml:space="preserve">Referência fora da região</t>
  </si>
  <si>
    <t xml:space="preserve">Nicoplas Moagem</t>
  </si>
  <si>
    <t xml:space="preserve">Cajamar</t>
  </si>
  <si>
    <t xml:space="preserve">Só presta serviço (melhor exemplo)</t>
  </si>
  <si>
    <t xml:space="preserve">Moagem, granulação PE/PP, micronização; moinhos de 1.200 kg/h; peneira por granulometria; 'moagem programada'</t>
  </si>
  <si>
    <t xml:space="preserve">PE, PP e outros · 23 anos</t>
  </si>
  <si>
    <t xml:space="preserve">(11) 2483-1829 · (11) 97272-9770</t>
  </si>
  <si>
    <t xml:space="preserve">Site + Instagram + Facebook</t>
  </si>
  <si>
    <t xml:space="preserve">'Aumente sua margem sem parar a produção, sem investir em máquinas'; caçamba + big bag identificado; depoimentos</t>
  </si>
  <si>
    <t xml:space="preserve">Proposta clara e recorte do que NÃO faz</t>
  </si>
  <si>
    <t xml:space="preserve">https://nicoplasmoagem.com.br/</t>
  </si>
  <si>
    <t xml:space="preserve">Trevo Reciclagem</t>
  </si>
  <si>
    <t xml:space="preserve">Embu das Artes</t>
  </si>
  <si>
    <t xml:space="preserve">Moagem e lavagem</t>
  </si>
  <si>
    <t xml:space="preserve">Serviço de moagem e lavagem de PCR PP/PE; descaracterização</t>
  </si>
  <si>
    <t xml:space="preserve">PP, PE</t>
  </si>
  <si>
    <t xml:space="preserve">(11) 3589-0089 · (11) 96647-5572</t>
  </si>
  <si>
    <t xml:space="preserve">Instagram, Facebook, YouTube, LinkedIn, TikTok</t>
  </si>
  <si>
    <t xml:space="preserve">Presença social mais completa</t>
  </si>
  <si>
    <t xml:space="preserve">Redes sociais</t>
  </si>
  <si>
    <t xml:space="preserve">https://trevoreciclagem.com.br/moagem-e-lavagem/</t>
  </si>
  <si>
    <t xml:space="preserve">Plasticosp</t>
  </si>
  <si>
    <t xml:space="preserve">Mairiporã</t>
  </si>
  <si>
    <t xml:space="preserve">Mão de obra de granulação</t>
  </si>
  <si>
    <t xml:space="preserve">Granulação de PS, PEBD, PEAD; aglutinação do material do cliente</t>
  </si>
  <si>
    <t xml:space="preserve">PS, PEBD, PEAD</t>
  </si>
  <si>
    <t xml:space="preserve">(11) 4486-4807 · (11) 97665-8175</t>
  </si>
  <si>
    <t xml:space="preserve">Vende 'mão de obra' explicitamente</t>
  </si>
  <si>
    <t xml:space="preserve">https://plasticosp.com.br/</t>
  </si>
  <si>
    <t xml:space="preserve">RFX Reciclagem</t>
  </si>
  <si>
    <t xml:space="preserve">Bragança Paulista</t>
  </si>
  <si>
    <t xml:space="preserve">Moagem + lavagem + granulação</t>
  </si>
  <si>
    <t xml:space="preserve">Moinho de facas e de borra, lavagem, granulação</t>
  </si>
  <si>
    <t xml:space="preserve">+29 mil t recicladas</t>
  </si>
  <si>
    <t xml:space="preserve">(11) 4033-2104 · (11) 98324-0826</t>
  </si>
  <si>
    <t xml:space="preserve">Site</t>
  </si>
  <si>
    <t xml:space="preserve">Divulga números (toneladas) e horário de recebimento</t>
  </si>
  <si>
    <t xml:space="preserve">Prova em números</t>
  </si>
  <si>
    <t xml:space="preserve">https://rfxreciclagem.com.br/</t>
  </si>
  <si>
    <t xml:space="preserve">Recomplast</t>
  </si>
  <si>
    <t xml:space="preserve">SEO de 'serviço de moagem'</t>
  </si>
  <si>
    <t xml:space="preserve">Páginas 'serviço de moagem de plástico em [cidade]' para centenas de cidades</t>
  </si>
  <si>
    <t xml:space="preserve">(11) 4705-9053</t>
  </si>
  <si>
    <t xml:space="preserve">Site de SEO; sem redes</t>
  </si>
  <si>
    <t xml:space="preserve">Captura buscas de Itu, Salto, Porto Feliz, Capivari</t>
  </si>
  <si>
    <t xml:space="preserve">Aparece no Google</t>
  </si>
  <si>
    <t xml:space="preserve">Sem preço, sem CDF</t>
  </si>
  <si>
    <t xml:space="preserve">recomplast.com.br</t>
  </si>
  <si>
    <t xml:space="preserve">Concorrência: o que aprender e onde se diferenciar</t>
  </si>
  <si>
    <t xml:space="preserve">O que os concorrentes fazem bem</t>
  </si>
  <si>
    <t xml:space="preserve">• Logística como produto: caçamba roll-on, coleta programada, big bag identificado (Nicoplas, BCS, DS, Ecopel, CBJ).</t>
  </si>
  <si>
    <t xml:space="preserve">• Conformidade como argumento de venda: CETESB, ISO, certificado de destinação, laudo, descaracterização acompanhada (DS, Flex, Ecopel).</t>
  </si>
  <si>
    <t xml:space="preserve">• Promessa econômica clara: 'sem investir em máquina e sem parar a produção' (Nicoplas, Gedel).</t>
  </si>
  <si>
    <t xml:space="preserve">• Recorte claro: dizem qual material aceitam e o que NÃO fazem (Nicoplas, Barrichello).</t>
  </si>
  <si>
    <t xml:space="preserve">• Prova: toneladas processadas, kg/h, anos de mercado, depoimentos.</t>
  </si>
  <si>
    <t xml:space="preserve">Brechas que vocês podem aproveitar</t>
  </si>
  <si>
    <t xml:space="preserve">• Ninguém publica preço. Uma tabela simples (a partir de R$ X/kg, mínimo Y kg, prazo Z dias) já diferencia.</t>
  </si>
  <si>
    <t xml:space="preserve">• Ninguém é especialista em FITA DE ARQUEAR, RÁFIA e FILME: a maioria foca em rígidos, PEAD e borras. Posicionem-se como 'especialistas em moagem de fita e plástico flexível'.</t>
  </si>
  <si>
    <t xml:space="preserve">• Granulometria quase nunca é informada. Divulgar 'moído 2 mm padronizado' com foto e ficha técnica.</t>
  </si>
  <si>
    <t xml:space="preserve">• CDF/MTR quase não é citado. Oferecer MTR via SIGOR + Certificado de Destinação Final + fotos resolve a dor do gerador.</t>
  </si>
  <si>
    <t xml:space="preserve">• WhatsApp e redes fracos nos concorrentes locais (BCS e Ecopel sem redes; Ecopel com site de 2018; Poliplástico fora do ar).</t>
  </si>
  <si>
    <t xml:space="preserve">• Faixa Boituva, Tatuí, Cerquilho, Tietê e Porto Feliz sem prestador visível: quem aparece no Google são portais de longe. Google Meu Negócio + páginas 'moagem de plástico em Tatuí/Cerquilho...' têm boa chance de ranquear.</t>
  </si>
  <si>
    <t xml:space="preserve">• Moagem pura por kg, com o material voltando ao cliente, é pouco ofertada: os grandes empurram granulação completa ou compram a apara.</t>
  </si>
  <si>
    <t xml:space="preserve">Referências de preço (todas a confirmar)</t>
  </si>
  <si>
    <t xml:space="preserve">• Preço de SERVIÇO de moagem por kg não é publicado por ninguém: todos trabalham sob orçamento.</t>
  </si>
  <si>
    <t xml:space="preserve">• Próximo passo: pedir orçamento como cliente comum (Nicoplas, Flex, Gedel, Barrichello, Plasticosp, Alassia): R$/kg, lote mínimo, frete.</t>
  </si>
  <si>
    <t xml:space="preserve">• Preço do material moído em classificados: PP moído R$ 4 a 7/kg; PET moído ~R$ 8,90/kg. É a margem que justifica o serviço para o cliente.</t>
  </si>
  <si>
    <t xml:space="preserve">• Custo estimado de vocês (conversa anterior): ~R$ 0,55/kg. Preço de serviço precisa ficar acima disso.</t>
  </si>
  <si>
    <t xml:space="preserve">Nota fiscal (confirmar com contador)</t>
  </si>
  <si>
    <t xml:space="preserve">• Cliente manda a apara e recebe o moído = industrialização por encomenda.</t>
  </si>
  <si>
    <t xml:space="preserve">• No retorno: insumo volta com CFOP 5.902 e o serviço é cobrado com CFOP 5.124, na mesma nota (SEFAZ-SP, RC 25345/2022).</t>
  </si>
  <si>
    <t xml:space="preserve">Roteiro de ligação</t>
  </si>
  <si>
    <t xml:space="preserve">1. Abertura (30 s)</t>
  </si>
  <si>
    <t xml:space="preserve">• Bom dia, meu nome é ___, sou da ___, de Boituva. Com quem eu falo sobre aparas, resíduos ou compra de material reciclado?</t>
  </si>
  <si>
    <t xml:space="preserve">• Somos especializados em moagem de fita de arquear, ráfia e plástico flexível (PP, PE e PET).</t>
  </si>
  <si>
    <t xml:space="preserve">• Moemos até 4 toneladas por dia, com granulometria de até 2 mm, e entregamos em big bag.</t>
  </si>
  <si>
    <t xml:space="preserve">2. Perguntas (descobrir a dor)</t>
  </si>
  <si>
    <t xml:space="preserve">• Vocês geram ou compram apara de fita, ráfia ou filme? Mais ou menos quantas toneladas por mês?</t>
  </si>
  <si>
    <t xml:space="preserve">• Hoje quem mói esse material? Fazem internamente ou terceirizam?</t>
  </si>
  <si>
    <t xml:space="preserve">• A moagem interna está no limite? Já precisaram de capacidade extra?</t>
  </si>
  <si>
    <t xml:space="preserve">• Que granulometria vocês precisam? Que tipo de material (PP, PE, PET)? Que cor?</t>
  </si>
  <si>
    <t xml:space="preserve">• Como vem o material (fardo, bobina, solto)? Quem faz o frete?</t>
  </si>
  <si>
    <t xml:space="preserve">• Precisam de MTR ou certificado de destinação (CDF)?</t>
  </si>
  <si>
    <t xml:space="preserve">3. Proposta</t>
  </si>
  <si>
    <t xml:space="preserve">• Opção 1: vocês mandam a apara e recebem o moído de volta (cobrança por kg).</t>
  </si>
  <si>
    <t xml:space="preserve">• Opção 2 (se for gerador): compramos ou retiramos a apara.</t>
  </si>
  <si>
    <t xml:space="preserve">• Oferecer teste grátis com um lote pequeno (ex.: 500 kg) para provar a qualidade.</t>
  </si>
  <si>
    <t xml:space="preserve">4. Fechamento</t>
  </si>
  <si>
    <t xml:space="preserve">• Posso enviar uma proposta por e-mail ou WhatsApp? Qual o melhor contato?</t>
  </si>
  <si>
    <t xml:space="preserve">• Anotar na aba Ligar: nome, cargo, volume por mês e próximo passo, com data.</t>
  </si>
  <si>
    <t xml:space="preserve">Dicas</t>
  </si>
  <si>
    <t xml:space="preserve">• Ligue entre 9h e 11h30 ou entre 14h e 16h30. Peça pelo setor de Compras, Suprimentos, Produção ou Meio Ambiente.</t>
  </si>
  <si>
    <t xml:space="preserve">• Nas fábricas (prioridade B), pergunte por 'resíduos' ou 'meio ambiente'. Nas recicladoras (prioridade A), por 'compras' ou 'produção'.</t>
  </si>
  <si>
    <t xml:space="preserve">• Se não houver interesse, pergunte: 'Conhece alguém que gera ou compra esse tipo de apara?'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</si>
</sst>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rqplast.com.br/sobrenos/" TargetMode="External"/><Relationship Id="rId2" Type="http://schemas.openxmlformats.org/officeDocument/2006/relationships/hyperlink" Target="https://mastrapet.com.br/" TargetMode="External"/><Relationship Id="rId3" Type="http://schemas.openxmlformats.org/officeDocument/2006/relationships/hyperlink" Target="https://odinplast.com.br/" TargetMode="External"/><Relationship Id="rId4" Type="http://schemas.openxmlformats.org/officeDocument/2006/relationships/hyperlink" Target="https://www.reciclagemtiete.com.br/" TargetMode="External"/><Relationship Id="rId5" Type="http://schemas.openxmlformats.org/officeDocument/2006/relationships/hyperlink" Target="https://bcsplasticos.com.br/" TargetMode="External"/><Relationship Id="rId6" Type="http://schemas.openxmlformats.org/officeDocument/2006/relationships/hyperlink" Target="https://megplast.com.br/" TargetMode="External"/><Relationship Id="rId7" Type="http://schemas.openxmlformats.org/officeDocument/2006/relationships/hyperlink" Target="https://makingplast.com.br/" TargetMode="External"/><Relationship Id="rId8" Type="http://schemas.openxmlformats.org/officeDocument/2006/relationships/hyperlink" Target="https://www.guiatelefone.com/indaiatuba-sp/comercio-de-produtos-e-servicos/3058831/doga-industria-e-comercio-de-reciclagem-plastica" TargetMode="External"/><Relationship Id="rId9" Type="http://schemas.openxmlformats.org/officeDocument/2006/relationships/hyperlink" Target="https://www.enfplastic.com/reeciclar" TargetMode="External"/><Relationship Id="rId10" Type="http://schemas.openxmlformats.org/officeDocument/2006/relationships/hyperlink" Target="https://www.enfplastic.com/valoren" TargetMode="External"/><Relationship Id="rId11" Type="http://schemas.openxmlformats.org/officeDocument/2006/relationships/hyperlink" Target="https://www.enfplastic.com/petim-plasticos" TargetMode="External"/><Relationship Id="rId12" Type="http://schemas.openxmlformats.org/officeDocument/2006/relationships/hyperlink" Target="https://dannaplas.com.br/" TargetMode="External"/><Relationship Id="rId13" Type="http://schemas.openxmlformats.org/officeDocument/2006/relationships/hyperlink" Target="https://bonafeplasticos.com.br/" TargetMode="External"/><Relationship Id="rId14" Type="http://schemas.openxmlformats.org/officeDocument/2006/relationships/hyperlink" Target="https://www.barreflex.com.br/" TargetMode="External"/><Relationship Id="rId15" Type="http://schemas.openxmlformats.org/officeDocument/2006/relationships/hyperlink" Target="https://wx8plasticos.com.br/" TargetMode="External"/><Relationship Id="rId16" Type="http://schemas.openxmlformats.org/officeDocument/2006/relationships/hyperlink" Target="https://cbjreciclagem.com.br/" TargetMode="External"/><Relationship Id="rId17" Type="http://schemas.openxmlformats.org/officeDocument/2006/relationships/hyperlink" Target="https://zupiplast.com.br/contato/" TargetMode="External"/><Relationship Id="rId18" Type="http://schemas.openxmlformats.org/officeDocument/2006/relationships/hyperlink" Target="https://complastpolimeros.com.br/" TargetMode="External"/><Relationship Id="rId19" Type="http://schemas.openxmlformats.org/officeDocument/2006/relationships/hyperlink" Target="https://www.guiatelefone.com/santa-barbara-d-oeste-sp/comercio-de-produtos-e-servicos/3237041/infinity-plastics-do-brasil-comercio-e-reciclagem-de-plasticos" TargetMode="External"/><Relationship Id="rId20" Type="http://schemas.openxmlformats.org/officeDocument/2006/relationships/hyperlink" Target="https://www.guiatelefone.com/santa-barbara-d-oeste-sp/comercio-de-produtos-e-servicos/2860170/camplast-recuperadora-e-comercio-de-plasticos" TargetMode="External"/><Relationship Id="rId21" Type="http://schemas.openxmlformats.org/officeDocument/2006/relationships/hyperlink" Target="https://www.guiatelefone.com/santa-barbara-d-oeste-sp/comercio-de-produtos-e-servicos/2927706/ciel-canova-recuperadora-de-plasticos" TargetMode="External"/><Relationship Id="rId22" Type="http://schemas.openxmlformats.org/officeDocument/2006/relationships/hyperlink" Target="https://primeplas.com.br/" TargetMode="External"/><Relationship Id="rId23" Type="http://schemas.openxmlformats.org/officeDocument/2006/relationships/hyperlink" Target="https://www.fibertex.com/contact/subsidiaries/brazil" TargetMode="External"/><Relationship Id="rId24" Type="http://schemas.openxmlformats.org/officeDocument/2006/relationships/hyperlink" Target="https://www.cipatex.com.br/" TargetMode="External"/><Relationship Id="rId25" Type="http://schemas.openxmlformats.org/officeDocument/2006/relationships/hyperlink" Target="https://luzplastik.com.br/" TargetMode="External"/><Relationship Id="rId26" Type="http://schemas.openxmlformats.org/officeDocument/2006/relationships/hyperlink" Target="https://indexabrasil.com.br/sp/votorantim/vitopel-do-brasil/" TargetMode="External"/><Relationship Id="rId27" Type="http://schemas.openxmlformats.org/officeDocument/2006/relationships/hyperlink" Target="https://www.strapet.com.br/quem-somos/" TargetMode="External"/><Relationship Id="rId28" Type="http://schemas.openxmlformats.org/officeDocument/2006/relationships/hyperlink" Target="https://novatextilbrasil.com.br/" TargetMode="External"/><Relationship Id="rId29" Type="http://schemas.openxmlformats.org/officeDocument/2006/relationships/hyperlink" Target="https://polyplastic.com.br/quem-somos/" TargetMode="External"/><Relationship Id="rId30" Type="http://schemas.openxmlformats.org/officeDocument/2006/relationships/hyperlink" Target="https://www.signode.com/pt-br/" TargetMode="External"/><Relationship Id="rId31" Type="http://schemas.openxmlformats.org/officeDocument/2006/relationships/hyperlink" Target="https://www.finepack.com.br/" TargetMode="External"/><Relationship Id="rId32" Type="http://schemas.openxmlformats.org/officeDocument/2006/relationships/hyperlink" Target="https://www.ecoway.com.br/" TargetMode="External"/><Relationship Id="rId33" Type="http://schemas.openxmlformats.org/officeDocument/2006/relationships/hyperlink" Target="https://www.tectextil.com.br/contato/" TargetMode="External"/><Relationship Id="rId34" Type="http://schemas.openxmlformats.org/officeDocument/2006/relationships/hyperlink" Target="https://www.embrasa.com.br/" TargetMode="External"/><Relationship Id="rId35" Type="http://schemas.openxmlformats.org/officeDocument/2006/relationships/hyperlink" Target="https://fabrikadofitilho.com.br/" TargetMode="External"/><Relationship Id="rId36" Type="http://schemas.openxmlformats.org/officeDocument/2006/relationships/hyperlink" Target="https://profil.com.br/" TargetMode="External"/><Relationship Id="rId37" Type="http://schemas.openxmlformats.org/officeDocument/2006/relationships/hyperlink" Target="https://papiroreciclagem.com.br/" TargetMode="External"/><Relationship Id="rId38" Type="http://schemas.openxmlformats.org/officeDocument/2006/relationships/hyperlink" Target="https://ecopel.eco.br/" TargetMode="External"/><Relationship Id="rId39" Type="http://schemas.openxmlformats.org/officeDocument/2006/relationships/hyperlink" Target="https://psareciclagem.com.br/" TargetMode="External"/><Relationship Id="rId40" Type="http://schemas.openxmlformats.org/officeDocument/2006/relationships/hyperlink" Target="https://gruposalmeron.com.br/" TargetMode="External"/><Relationship Id="rId41" Type="http://schemas.openxmlformats.org/officeDocument/2006/relationships/hyperlink" Target="https://dsambiental.com.br/" TargetMode="External"/><Relationship Id="rId42" Type="http://schemas.openxmlformats.org/officeDocument/2006/relationships/hyperlink" Target="https://www.enfplastic.com/alp-ambiental" TargetMode="External"/><Relationship Id="rId43" Type="http://schemas.openxmlformats.org/officeDocument/2006/relationships/hyperlink" Target="https://www.aparasrosariopereira.com.br/" TargetMode="External"/><Relationship Id="rId44" Type="http://schemas.openxmlformats.org/officeDocument/2006/relationships/hyperlink" Target="https://www.mfrural.com.br/detalhe/235691/sucatas-de-fitas-de-arquear-pet" TargetMode="External"/><Relationship Id="rId45" Type="http://schemas.openxmlformats.org/officeDocument/2006/relationships/hyperlink" Target="https://sucataseco.com.br/" TargetMode="External"/><Relationship Id="rId46" Type="http://schemas.openxmlformats.org/officeDocument/2006/relationships/hyperlink" Target="https://www.tombstonereciclagem.com.br/compra-e-venda-plastico" TargetMode="External"/><Relationship Id="rId4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lassia.com.br/" TargetMode="External"/><Relationship Id="rId2" Type="http://schemas.openxmlformats.org/officeDocument/2006/relationships/hyperlink" Target="https://bcsplasticos.com.br/" TargetMode="External"/><Relationship Id="rId3" Type="http://schemas.openxmlformats.org/officeDocument/2006/relationships/hyperlink" Target="https://dsambiental.com.br/" TargetMode="External"/><Relationship Id="rId4" Type="http://schemas.openxmlformats.org/officeDocument/2006/relationships/hyperlink" Target="https://ecopel.eco.br/servicos-002/" TargetMode="External"/><Relationship Id="rId5" Type="http://schemas.openxmlformats.org/officeDocument/2006/relationships/hyperlink" Target="https://b2blue.com/detalhes-empresa/60654/moagem-plastico-pp-e-pead/sorocaba/sp/" TargetMode="External"/><Relationship Id="rId6" Type="http://schemas.openxmlformats.org/officeDocument/2006/relationships/hyperlink" Target="https://www.flexambiental.eco.br/" TargetMode="External"/><Relationship Id="rId7" Type="http://schemas.openxmlformats.org/officeDocument/2006/relationships/hyperlink" Target="https://megplast.com.br/" TargetMode="External"/><Relationship Id="rId8" Type="http://schemas.openxmlformats.org/officeDocument/2006/relationships/hyperlink" Target="https://gedelplasticos.com.br/servicos/" TargetMode="External"/><Relationship Id="rId9" Type="http://schemas.openxmlformats.org/officeDocument/2006/relationships/hyperlink" Target="https://plasticosbarrichello.com.br/" TargetMode="External"/><Relationship Id="rId10" Type="http://schemas.openxmlformats.org/officeDocument/2006/relationships/hyperlink" Target="https://cbjreciclagem.com.br/" TargetMode="External"/><Relationship Id="rId11" Type="http://schemas.openxmlformats.org/officeDocument/2006/relationships/hyperlink" Target="https://www.tombstonereciclagem.com.br/" TargetMode="External"/><Relationship Id="rId12" Type="http://schemas.openxmlformats.org/officeDocument/2006/relationships/hyperlink" Target="https://nicoplasmoagem.com.br/" TargetMode="External"/><Relationship Id="rId13" Type="http://schemas.openxmlformats.org/officeDocument/2006/relationships/hyperlink" Target="https://trevoreciclagem.com.br/moagem-e-lavagem/" TargetMode="External"/><Relationship Id="rId14" Type="http://schemas.openxmlformats.org/officeDocument/2006/relationships/hyperlink" Target="https://plasticosp.com.br/" TargetMode="External"/><Relationship Id="rId15" Type="http://schemas.openxmlformats.org/officeDocument/2006/relationships/hyperlink" Target="https://rfxreciclagem.com.br/" TargetMode="External"/><Relationship Id="rId16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10</v>
      </c>
      <c r="B9" s="3"/>
    </row>
    <row r="10" customFormat="false" ht="15" hidden="false" customHeight="false" outlineLevel="0" collapsed="false">
      <c r="A10" s="4" t="s">
        <v>11</v>
      </c>
      <c r="B10" s="3" t="s">
        <v>12</v>
      </c>
    </row>
    <row r="11" customFormat="false" ht="15" hidden="false" customHeight="false" outlineLevel="0" collapsed="false">
      <c r="A11" s="5" t="s">
        <v>13</v>
      </c>
      <c r="B11" s="3" t="s">
        <v>14</v>
      </c>
    </row>
    <row r="12" customFormat="false" ht="15" hidden="false" customHeight="false" outlineLevel="0" collapsed="false">
      <c r="A12" s="6" t="s">
        <v>15</v>
      </c>
      <c r="B12" s="3" t="s">
        <v>16</v>
      </c>
    </row>
    <row r="13" customFormat="false" ht="15" hidden="false" customHeight="false" outlineLevel="0" collapsed="false">
      <c r="A13" s="7" t="s">
        <v>17</v>
      </c>
      <c r="B13" s="3" t="s">
        <v>18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/>
      <c r="B16" s="3" t="s">
        <v>21</v>
      </c>
    </row>
    <row r="17" customFormat="false" ht="15" hidden="false" customHeight="false" outlineLevel="0" collapsed="false">
      <c r="A17" s="2"/>
      <c r="B17" s="3" t="s">
        <v>22</v>
      </c>
    </row>
    <row r="19" customFormat="false" ht="17.35" hidden="false" customHeight="false" outlineLevel="0" collapsed="false">
      <c r="A19" s="1" t="s">
        <v>23</v>
      </c>
    </row>
    <row r="20" customFormat="false" ht="15" hidden="false" customHeight="false" outlineLevel="0" collapsed="false">
      <c r="A20" s="8" t="s">
        <v>24</v>
      </c>
      <c r="B20" s="8" t="s">
        <v>25</v>
      </c>
    </row>
    <row r="21" customFormat="false" ht="15" hidden="false" customHeight="false" outlineLevel="0" collapsed="false">
      <c r="A21" s="9" t="s">
        <v>26</v>
      </c>
      <c r="B21" s="9" t="n">
        <f aca="false">COUNTIF(Ligar!$N$2:$N$49,A21)</f>
        <v>48</v>
      </c>
    </row>
    <row r="22" customFormat="false" ht="15" hidden="false" customHeight="false" outlineLevel="0" collapsed="false">
      <c r="A22" s="9" t="s">
        <v>27</v>
      </c>
      <c r="B22" s="9" t="n">
        <f aca="false">COUNTIF(Ligar!$N$2:$N$49,A22)</f>
        <v>0</v>
      </c>
    </row>
    <row r="23" customFormat="false" ht="15" hidden="false" customHeight="false" outlineLevel="0" collapsed="false">
      <c r="A23" s="9" t="s">
        <v>28</v>
      </c>
      <c r="B23" s="9" t="n">
        <f aca="false">COUNTIF(Ligar!$N$2:$N$49,A23)</f>
        <v>0</v>
      </c>
    </row>
    <row r="24" customFormat="false" ht="15" hidden="false" customHeight="false" outlineLevel="0" collapsed="false">
      <c r="A24" s="9" t="s">
        <v>29</v>
      </c>
      <c r="B24" s="9" t="n">
        <f aca="false">COUNTIF(Ligar!$N$2:$N$49,A24)</f>
        <v>0</v>
      </c>
    </row>
    <row r="25" customFormat="false" ht="15" hidden="false" customHeight="false" outlineLevel="0" collapsed="false">
      <c r="A25" s="9" t="s">
        <v>30</v>
      </c>
      <c r="B25" s="9" t="n">
        <f aca="false">COUNTIF(Ligar!$N$2:$N$49,A25)</f>
        <v>0</v>
      </c>
    </row>
    <row r="26" customFormat="false" ht="15" hidden="false" customHeight="false" outlineLevel="0" collapsed="false">
      <c r="A26" s="9" t="s">
        <v>31</v>
      </c>
      <c r="B26" s="9" t="n">
        <f aca="false">COUNTIF(Ligar!$N$2:$N$49,A26)</f>
        <v>0</v>
      </c>
    </row>
    <row r="27" customFormat="false" ht="15" hidden="false" customHeight="false" outlineLevel="0" collapsed="false">
      <c r="A27" s="9" t="s">
        <v>32</v>
      </c>
      <c r="B27" s="9" t="n">
        <f aca="false">COUNTIF(Ligar!$N$2:$N$49,A27)</f>
        <v>0</v>
      </c>
    </row>
    <row r="28" customFormat="false" ht="15" hidden="false" customHeight="false" outlineLevel="0" collapsed="false">
      <c r="A28" s="2" t="s">
        <v>33</v>
      </c>
      <c r="B28" s="2" t="n">
        <f aca="false">COUNTA(Ligar!$C$2:$C$49)</f>
        <v>48</v>
      </c>
    </row>
    <row r="29" customFormat="false" ht="15" hidden="false" customHeight="false" outlineLevel="0" collapsed="false">
      <c r="A29" s="2" t="s">
        <v>34</v>
      </c>
      <c r="B29" s="2" t="n">
        <f aca="false">B28-B21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42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46"/>
    <col collapsed="false" customWidth="true" hidden="false" outlineLevel="0" max="13" min="13" style="0" width="28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26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24</v>
      </c>
      <c r="O1" s="10" t="s">
        <v>48</v>
      </c>
      <c r="P1" s="10" t="s">
        <v>49</v>
      </c>
      <c r="Q1" s="10" t="s">
        <v>50</v>
      </c>
      <c r="R1" s="10" t="s">
        <v>51</v>
      </c>
      <c r="S1" s="10" t="s">
        <v>52</v>
      </c>
    </row>
    <row r="2" customFormat="false" ht="35.05" hidden="false" customHeight="false" outlineLevel="0" collapsed="false">
      <c r="A2" s="11" t="s">
        <v>11</v>
      </c>
      <c r="B2" s="12" t="n">
        <v>1</v>
      </c>
      <c r="C2" s="13" t="s">
        <v>53</v>
      </c>
      <c r="D2" s="12" t="s">
        <v>54</v>
      </c>
      <c r="E2" s="12" t="n">
        <v>0</v>
      </c>
      <c r="F2" s="12" t="s">
        <v>55</v>
      </c>
      <c r="G2" s="12" t="s">
        <v>56</v>
      </c>
      <c r="H2" s="12" t="s">
        <v>57</v>
      </c>
      <c r="I2" s="12"/>
      <c r="J2" s="12" t="s">
        <v>58</v>
      </c>
      <c r="K2" s="12" t="s">
        <v>59</v>
      </c>
      <c r="L2" s="12" t="s">
        <v>60</v>
      </c>
      <c r="M2" s="14" t="s">
        <v>61</v>
      </c>
      <c r="N2" s="15" t="s">
        <v>26</v>
      </c>
      <c r="O2" s="16"/>
      <c r="P2" s="15"/>
      <c r="Q2" s="15"/>
      <c r="R2" s="15"/>
      <c r="S2" s="15"/>
    </row>
    <row r="3" customFormat="false" ht="46.25" hidden="false" customHeight="false" outlineLevel="0" collapsed="false">
      <c r="A3" s="11" t="s">
        <v>11</v>
      </c>
      <c r="B3" s="12" t="n">
        <v>2</v>
      </c>
      <c r="C3" s="13" t="s">
        <v>62</v>
      </c>
      <c r="D3" s="12" t="s">
        <v>63</v>
      </c>
      <c r="E3" s="12" t="n">
        <v>70</v>
      </c>
      <c r="F3" s="12" t="s">
        <v>64</v>
      </c>
      <c r="G3" s="12" t="s">
        <v>65</v>
      </c>
      <c r="H3" s="12" t="s">
        <v>66</v>
      </c>
      <c r="I3" s="12"/>
      <c r="J3" s="12"/>
      <c r="K3" s="12" t="s">
        <v>67</v>
      </c>
      <c r="L3" s="12" t="s">
        <v>68</v>
      </c>
      <c r="M3" s="12"/>
      <c r="N3" s="15" t="s">
        <v>26</v>
      </c>
      <c r="O3" s="16"/>
      <c r="P3" s="15"/>
      <c r="Q3" s="15"/>
      <c r="R3" s="15"/>
      <c r="S3" s="15"/>
    </row>
    <row r="4" customFormat="false" ht="23.85" hidden="false" customHeight="false" outlineLevel="0" collapsed="false">
      <c r="A4" s="17" t="s">
        <v>13</v>
      </c>
      <c r="B4" s="12" t="n">
        <v>3</v>
      </c>
      <c r="C4" s="13" t="s">
        <v>69</v>
      </c>
      <c r="D4" s="12" t="s">
        <v>70</v>
      </c>
      <c r="E4" s="12" t="n">
        <v>25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59</v>
      </c>
      <c r="L4" s="12" t="s">
        <v>76</v>
      </c>
      <c r="M4" s="14" t="s">
        <v>77</v>
      </c>
      <c r="N4" s="15" t="s">
        <v>26</v>
      </c>
      <c r="O4" s="16"/>
      <c r="P4" s="15"/>
      <c r="Q4" s="15"/>
      <c r="R4" s="15"/>
      <c r="S4" s="15"/>
    </row>
    <row r="5" customFormat="false" ht="23.85" hidden="false" customHeight="false" outlineLevel="0" collapsed="false">
      <c r="A5" s="17" t="s">
        <v>13</v>
      </c>
      <c r="B5" s="12" t="n">
        <v>4</v>
      </c>
      <c r="C5" s="13" t="s">
        <v>78</v>
      </c>
      <c r="D5" s="12" t="s">
        <v>79</v>
      </c>
      <c r="E5" s="12" t="n">
        <v>25</v>
      </c>
      <c r="F5" s="12" t="s">
        <v>80</v>
      </c>
      <c r="G5" s="12" t="s">
        <v>81</v>
      </c>
      <c r="H5" s="12" t="s">
        <v>82</v>
      </c>
      <c r="I5" s="12" t="s">
        <v>83</v>
      </c>
      <c r="J5" s="12" t="s">
        <v>84</v>
      </c>
      <c r="K5" s="12" t="s">
        <v>59</v>
      </c>
      <c r="L5" s="12" t="s">
        <v>85</v>
      </c>
      <c r="M5" s="14" t="s">
        <v>86</v>
      </c>
      <c r="N5" s="15" t="s">
        <v>26</v>
      </c>
      <c r="O5" s="16"/>
      <c r="P5" s="15"/>
      <c r="Q5" s="15"/>
      <c r="R5" s="15"/>
      <c r="S5" s="15"/>
    </row>
    <row r="6" customFormat="false" ht="23.85" hidden="false" customHeight="false" outlineLevel="0" collapsed="false">
      <c r="A6" s="17" t="s">
        <v>13</v>
      </c>
      <c r="B6" s="12" t="n">
        <v>5</v>
      </c>
      <c r="C6" s="13" t="s">
        <v>87</v>
      </c>
      <c r="D6" s="12" t="s">
        <v>88</v>
      </c>
      <c r="E6" s="12" t="n">
        <v>25</v>
      </c>
      <c r="F6" s="12" t="s">
        <v>89</v>
      </c>
      <c r="G6" s="12" t="s">
        <v>90</v>
      </c>
      <c r="H6" s="12" t="s">
        <v>91</v>
      </c>
      <c r="I6" s="12" t="s">
        <v>92</v>
      </c>
      <c r="J6" s="12" t="s">
        <v>93</v>
      </c>
      <c r="K6" s="12" t="s">
        <v>59</v>
      </c>
      <c r="L6" s="12" t="s">
        <v>94</v>
      </c>
      <c r="M6" s="14" t="s">
        <v>95</v>
      </c>
      <c r="N6" s="15" t="s">
        <v>26</v>
      </c>
      <c r="O6" s="16"/>
      <c r="P6" s="15"/>
      <c r="Q6" s="15"/>
      <c r="R6" s="15"/>
      <c r="S6" s="15"/>
    </row>
    <row r="7" customFormat="false" ht="23.85" hidden="false" customHeight="false" outlineLevel="0" collapsed="false">
      <c r="A7" s="17" t="s">
        <v>13</v>
      </c>
      <c r="B7" s="12" t="n">
        <v>6</v>
      </c>
      <c r="C7" s="13" t="s">
        <v>96</v>
      </c>
      <c r="D7" s="12" t="s">
        <v>97</v>
      </c>
      <c r="E7" s="12" t="n">
        <v>45</v>
      </c>
      <c r="F7" s="12" t="s">
        <v>98</v>
      </c>
      <c r="G7" s="12" t="s">
        <v>99</v>
      </c>
      <c r="H7" s="12" t="s">
        <v>100</v>
      </c>
      <c r="I7" s="12" t="s">
        <v>66</v>
      </c>
      <c r="J7" s="12" t="s">
        <v>101</v>
      </c>
      <c r="K7" s="12" t="s">
        <v>59</v>
      </c>
      <c r="L7" s="12" t="s">
        <v>102</v>
      </c>
      <c r="M7" s="14" t="s">
        <v>103</v>
      </c>
      <c r="N7" s="15" t="s">
        <v>26</v>
      </c>
      <c r="O7" s="16"/>
      <c r="P7" s="15"/>
      <c r="Q7" s="15"/>
      <c r="R7" s="15"/>
      <c r="S7" s="15"/>
    </row>
    <row r="8" customFormat="false" ht="23.85" hidden="false" customHeight="false" outlineLevel="0" collapsed="false">
      <c r="A8" s="17" t="s">
        <v>13</v>
      </c>
      <c r="B8" s="12" t="n">
        <v>7</v>
      </c>
      <c r="C8" s="13" t="s">
        <v>104</v>
      </c>
      <c r="D8" s="12" t="s">
        <v>105</v>
      </c>
      <c r="E8" s="12" t="n">
        <v>45</v>
      </c>
      <c r="F8" s="12" t="s">
        <v>106</v>
      </c>
      <c r="G8" s="12" t="s">
        <v>107</v>
      </c>
      <c r="H8" s="12" t="s">
        <v>66</v>
      </c>
      <c r="I8" s="12"/>
      <c r="J8" s="12"/>
      <c r="K8" s="12" t="s">
        <v>67</v>
      </c>
      <c r="L8" s="12" t="s">
        <v>108</v>
      </c>
      <c r="M8" s="12" t="s">
        <v>109</v>
      </c>
      <c r="N8" s="15" t="s">
        <v>26</v>
      </c>
      <c r="O8" s="16"/>
      <c r="P8" s="15"/>
      <c r="Q8" s="15"/>
      <c r="R8" s="15"/>
      <c r="S8" s="15"/>
    </row>
    <row r="9" customFormat="false" ht="23.85" hidden="false" customHeight="false" outlineLevel="0" collapsed="false">
      <c r="A9" s="17" t="s">
        <v>13</v>
      </c>
      <c r="B9" s="12" t="n">
        <v>8</v>
      </c>
      <c r="C9" s="13" t="s">
        <v>110</v>
      </c>
      <c r="D9" s="12" t="s">
        <v>63</v>
      </c>
      <c r="E9" s="12" t="n">
        <v>70</v>
      </c>
      <c r="F9" s="12" t="s">
        <v>111</v>
      </c>
      <c r="G9" s="12" t="s">
        <v>112</v>
      </c>
      <c r="H9" s="12" t="s">
        <v>113</v>
      </c>
      <c r="I9" s="12" t="s">
        <v>114</v>
      </c>
      <c r="J9" s="12" t="s">
        <v>115</v>
      </c>
      <c r="K9" s="12" t="s">
        <v>116</v>
      </c>
      <c r="L9" s="12" t="s">
        <v>117</v>
      </c>
      <c r="M9" s="14" t="s">
        <v>118</v>
      </c>
      <c r="N9" s="15" t="s">
        <v>26</v>
      </c>
      <c r="O9" s="16"/>
      <c r="P9" s="15"/>
      <c r="Q9" s="15"/>
      <c r="R9" s="15"/>
      <c r="S9" s="15"/>
    </row>
    <row r="10" customFormat="false" ht="23.85" hidden="false" customHeight="false" outlineLevel="0" collapsed="false">
      <c r="A10" s="17" t="s">
        <v>13</v>
      </c>
      <c r="B10" s="12" t="n">
        <v>9</v>
      </c>
      <c r="C10" s="13" t="s">
        <v>119</v>
      </c>
      <c r="D10" s="12" t="s">
        <v>63</v>
      </c>
      <c r="E10" s="12" t="n">
        <v>70</v>
      </c>
      <c r="F10" s="12" t="s">
        <v>120</v>
      </c>
      <c r="G10" s="12" t="s">
        <v>121</v>
      </c>
      <c r="H10" s="12" t="s">
        <v>122</v>
      </c>
      <c r="I10" s="12"/>
      <c r="J10" s="12" t="s">
        <v>123</v>
      </c>
      <c r="K10" s="12" t="s">
        <v>116</v>
      </c>
      <c r="L10" s="12" t="s">
        <v>124</v>
      </c>
      <c r="M10" s="14" t="s">
        <v>125</v>
      </c>
      <c r="N10" s="15" t="s">
        <v>26</v>
      </c>
      <c r="O10" s="16"/>
      <c r="P10" s="15"/>
      <c r="Q10" s="15"/>
      <c r="R10" s="15"/>
      <c r="S10" s="15"/>
    </row>
    <row r="11" customFormat="false" ht="23.85" hidden="false" customHeight="false" outlineLevel="0" collapsed="false">
      <c r="A11" s="17" t="s">
        <v>13</v>
      </c>
      <c r="B11" s="12" t="n">
        <v>10</v>
      </c>
      <c r="C11" s="13" t="s">
        <v>126</v>
      </c>
      <c r="D11" s="12" t="s">
        <v>63</v>
      </c>
      <c r="E11" s="12" t="n">
        <v>70</v>
      </c>
      <c r="F11" s="12" t="s">
        <v>127</v>
      </c>
      <c r="G11" s="12" t="s">
        <v>128</v>
      </c>
      <c r="H11" s="12"/>
      <c r="I11" s="12" t="s">
        <v>129</v>
      </c>
      <c r="J11" s="12" t="s">
        <v>66</v>
      </c>
      <c r="K11" s="12" t="s">
        <v>116</v>
      </c>
      <c r="L11" s="12" t="s">
        <v>130</v>
      </c>
      <c r="M11" s="14" t="s">
        <v>131</v>
      </c>
      <c r="N11" s="15" t="s">
        <v>26</v>
      </c>
      <c r="O11" s="16"/>
      <c r="P11" s="15"/>
      <c r="Q11" s="15"/>
      <c r="R11" s="15"/>
      <c r="S11" s="15"/>
    </row>
    <row r="12" customFormat="false" ht="15" hidden="false" customHeight="false" outlineLevel="0" collapsed="false">
      <c r="A12" s="17" t="s">
        <v>13</v>
      </c>
      <c r="B12" s="12" t="n">
        <v>11</v>
      </c>
      <c r="C12" s="13" t="s">
        <v>132</v>
      </c>
      <c r="D12" s="12" t="s">
        <v>63</v>
      </c>
      <c r="E12" s="12" t="n">
        <v>70</v>
      </c>
      <c r="F12" s="12" t="s">
        <v>133</v>
      </c>
      <c r="G12" s="12" t="s">
        <v>134</v>
      </c>
      <c r="H12" s="12" t="s">
        <v>135</v>
      </c>
      <c r="I12" s="12"/>
      <c r="J12" s="12" t="s">
        <v>66</v>
      </c>
      <c r="K12" s="12" t="s">
        <v>136</v>
      </c>
      <c r="L12" s="12" t="s">
        <v>137</v>
      </c>
      <c r="M12" s="14" t="s">
        <v>138</v>
      </c>
      <c r="N12" s="15" t="s">
        <v>26</v>
      </c>
      <c r="O12" s="16"/>
      <c r="P12" s="15"/>
      <c r="Q12" s="15"/>
      <c r="R12" s="15"/>
      <c r="S12" s="15"/>
    </row>
    <row r="13" customFormat="false" ht="23.85" hidden="false" customHeight="false" outlineLevel="0" collapsed="false">
      <c r="A13" s="17" t="s">
        <v>13</v>
      </c>
      <c r="B13" s="12" t="n">
        <v>12</v>
      </c>
      <c r="C13" s="13" t="s">
        <v>139</v>
      </c>
      <c r="D13" s="12" t="s">
        <v>63</v>
      </c>
      <c r="E13" s="12" t="n">
        <v>70</v>
      </c>
      <c r="F13" s="12" t="s">
        <v>140</v>
      </c>
      <c r="G13" s="12" t="s">
        <v>141</v>
      </c>
      <c r="H13" s="12" t="s">
        <v>142</v>
      </c>
      <c r="I13" s="12"/>
      <c r="J13" s="12" t="s">
        <v>66</v>
      </c>
      <c r="K13" s="12" t="s">
        <v>136</v>
      </c>
      <c r="L13" s="12" t="s">
        <v>143</v>
      </c>
      <c r="M13" s="14" t="s">
        <v>144</v>
      </c>
      <c r="N13" s="15" t="s">
        <v>26</v>
      </c>
      <c r="O13" s="16"/>
      <c r="P13" s="15"/>
      <c r="Q13" s="15"/>
      <c r="R13" s="15"/>
      <c r="S13" s="15"/>
    </row>
    <row r="14" customFormat="false" ht="15" hidden="false" customHeight="false" outlineLevel="0" collapsed="false">
      <c r="A14" s="17" t="s">
        <v>13</v>
      </c>
      <c r="B14" s="12" t="n">
        <v>13</v>
      </c>
      <c r="C14" s="13" t="s">
        <v>145</v>
      </c>
      <c r="D14" s="12" t="s">
        <v>146</v>
      </c>
      <c r="E14" s="12" t="n">
        <v>75</v>
      </c>
      <c r="F14" s="12" t="s">
        <v>147</v>
      </c>
      <c r="G14" s="12" t="s">
        <v>148</v>
      </c>
      <c r="H14" s="12" t="s">
        <v>149</v>
      </c>
      <c r="I14" s="12"/>
      <c r="J14" s="12" t="s">
        <v>150</v>
      </c>
      <c r="K14" s="12" t="s">
        <v>116</v>
      </c>
      <c r="L14" s="12" t="s">
        <v>151</v>
      </c>
      <c r="M14" s="14" t="s">
        <v>152</v>
      </c>
      <c r="N14" s="15" t="s">
        <v>26</v>
      </c>
      <c r="O14" s="16"/>
      <c r="P14" s="15"/>
      <c r="Q14" s="15"/>
      <c r="R14" s="15"/>
      <c r="S14" s="15"/>
    </row>
    <row r="15" customFormat="false" ht="23.85" hidden="false" customHeight="false" outlineLevel="0" collapsed="false">
      <c r="A15" s="17" t="s">
        <v>13</v>
      </c>
      <c r="B15" s="12" t="n">
        <v>14</v>
      </c>
      <c r="C15" s="13" t="s">
        <v>153</v>
      </c>
      <c r="D15" s="12" t="s">
        <v>154</v>
      </c>
      <c r="E15" s="12" t="n">
        <v>85</v>
      </c>
      <c r="F15" s="12" t="s">
        <v>155</v>
      </c>
      <c r="G15" s="12" t="s">
        <v>156</v>
      </c>
      <c r="H15" s="12" t="s">
        <v>157</v>
      </c>
      <c r="I15" s="12" t="s">
        <v>158</v>
      </c>
      <c r="J15" s="12" t="s">
        <v>159</v>
      </c>
      <c r="K15" s="12" t="s">
        <v>59</v>
      </c>
      <c r="L15" s="12" t="s">
        <v>160</v>
      </c>
      <c r="M15" s="14" t="s">
        <v>161</v>
      </c>
      <c r="N15" s="15" t="s">
        <v>26</v>
      </c>
      <c r="O15" s="16"/>
      <c r="P15" s="15"/>
      <c r="Q15" s="15"/>
      <c r="R15" s="15"/>
      <c r="S15" s="15"/>
    </row>
    <row r="16" customFormat="false" ht="23.85" hidden="false" customHeight="false" outlineLevel="0" collapsed="false">
      <c r="A16" s="17" t="s">
        <v>13</v>
      </c>
      <c r="B16" s="12" t="n">
        <v>15</v>
      </c>
      <c r="C16" s="13" t="s">
        <v>162</v>
      </c>
      <c r="D16" s="12" t="s">
        <v>154</v>
      </c>
      <c r="E16" s="12" t="n">
        <v>85</v>
      </c>
      <c r="F16" s="12" t="s">
        <v>163</v>
      </c>
      <c r="G16" s="12" t="s">
        <v>164</v>
      </c>
      <c r="H16" s="12" t="s">
        <v>165</v>
      </c>
      <c r="I16" s="12" t="s">
        <v>166</v>
      </c>
      <c r="J16" s="12" t="s">
        <v>167</v>
      </c>
      <c r="K16" s="12" t="s">
        <v>59</v>
      </c>
      <c r="L16" s="12" t="s">
        <v>168</v>
      </c>
      <c r="M16" s="14" t="s">
        <v>169</v>
      </c>
      <c r="N16" s="15" t="s">
        <v>26</v>
      </c>
      <c r="O16" s="16"/>
      <c r="P16" s="15"/>
      <c r="Q16" s="15"/>
      <c r="R16" s="15"/>
      <c r="S16" s="15"/>
    </row>
    <row r="17" customFormat="false" ht="23.85" hidden="false" customHeight="false" outlineLevel="0" collapsed="false">
      <c r="A17" s="17" t="s">
        <v>13</v>
      </c>
      <c r="B17" s="12" t="n">
        <v>16</v>
      </c>
      <c r="C17" s="13" t="s">
        <v>170</v>
      </c>
      <c r="D17" s="12" t="s">
        <v>171</v>
      </c>
      <c r="E17" s="12" t="n">
        <v>95</v>
      </c>
      <c r="F17" s="12" t="s">
        <v>172</v>
      </c>
      <c r="G17" s="12" t="s">
        <v>173</v>
      </c>
      <c r="H17" s="12" t="s">
        <v>174</v>
      </c>
      <c r="I17" s="12"/>
      <c r="J17" s="12" t="s">
        <v>175</v>
      </c>
      <c r="K17" s="12" t="s">
        <v>59</v>
      </c>
      <c r="L17" s="12" t="s">
        <v>176</v>
      </c>
      <c r="M17" s="14" t="s">
        <v>177</v>
      </c>
      <c r="N17" s="15" t="s">
        <v>26</v>
      </c>
      <c r="O17" s="16"/>
      <c r="P17" s="15"/>
      <c r="Q17" s="15"/>
      <c r="R17" s="15"/>
      <c r="S17" s="15"/>
    </row>
    <row r="18" customFormat="false" ht="23.85" hidden="false" customHeight="false" outlineLevel="0" collapsed="false">
      <c r="A18" s="17" t="s">
        <v>13</v>
      </c>
      <c r="B18" s="12" t="n">
        <v>17</v>
      </c>
      <c r="C18" s="13" t="s">
        <v>178</v>
      </c>
      <c r="D18" s="12" t="s">
        <v>179</v>
      </c>
      <c r="E18" s="12" t="n">
        <v>95</v>
      </c>
      <c r="F18" s="12" t="s">
        <v>180</v>
      </c>
      <c r="G18" s="12" t="s">
        <v>181</v>
      </c>
      <c r="H18" s="12" t="s">
        <v>182</v>
      </c>
      <c r="I18" s="12" t="s">
        <v>183</v>
      </c>
      <c r="J18" s="12" t="s">
        <v>184</v>
      </c>
      <c r="K18" s="12" t="s">
        <v>59</v>
      </c>
      <c r="L18" s="12" t="s">
        <v>185</v>
      </c>
      <c r="M18" s="14" t="s">
        <v>186</v>
      </c>
      <c r="N18" s="15" t="s">
        <v>26</v>
      </c>
      <c r="O18" s="16"/>
      <c r="P18" s="15"/>
      <c r="Q18" s="15"/>
      <c r="R18" s="15"/>
      <c r="S18" s="15"/>
    </row>
    <row r="19" customFormat="false" ht="23.85" hidden="false" customHeight="false" outlineLevel="0" collapsed="false">
      <c r="A19" s="17" t="s">
        <v>13</v>
      </c>
      <c r="B19" s="12" t="n">
        <v>18</v>
      </c>
      <c r="C19" s="13" t="s">
        <v>187</v>
      </c>
      <c r="D19" s="12" t="s">
        <v>179</v>
      </c>
      <c r="E19" s="12" t="n">
        <v>95</v>
      </c>
      <c r="F19" s="12" t="s">
        <v>188</v>
      </c>
      <c r="G19" s="12" t="s">
        <v>189</v>
      </c>
      <c r="H19" s="12" t="s">
        <v>190</v>
      </c>
      <c r="I19" s="12"/>
      <c r="J19" s="12" t="s">
        <v>191</v>
      </c>
      <c r="K19" s="12" t="s">
        <v>59</v>
      </c>
      <c r="L19" s="12" t="s">
        <v>192</v>
      </c>
      <c r="M19" s="14" t="s">
        <v>193</v>
      </c>
      <c r="N19" s="15" t="s">
        <v>26</v>
      </c>
      <c r="O19" s="16"/>
      <c r="P19" s="15"/>
      <c r="Q19" s="15"/>
      <c r="R19" s="15"/>
      <c r="S19" s="15"/>
    </row>
    <row r="20" customFormat="false" ht="15" hidden="false" customHeight="false" outlineLevel="0" collapsed="false">
      <c r="A20" s="17" t="s">
        <v>13</v>
      </c>
      <c r="B20" s="12" t="n">
        <v>19</v>
      </c>
      <c r="C20" s="13" t="s">
        <v>194</v>
      </c>
      <c r="D20" s="12" t="s">
        <v>195</v>
      </c>
      <c r="E20" s="12" t="n">
        <v>95</v>
      </c>
      <c r="F20" s="12" t="s">
        <v>196</v>
      </c>
      <c r="G20" s="12" t="s">
        <v>197</v>
      </c>
      <c r="H20" s="12" t="s">
        <v>198</v>
      </c>
      <c r="I20" s="12" t="s">
        <v>199</v>
      </c>
      <c r="J20" s="12" t="s">
        <v>200</v>
      </c>
      <c r="K20" s="12" t="s">
        <v>59</v>
      </c>
      <c r="L20" s="12" t="s">
        <v>201</v>
      </c>
      <c r="M20" s="14" t="s">
        <v>202</v>
      </c>
      <c r="N20" s="15" t="s">
        <v>26</v>
      </c>
      <c r="O20" s="16"/>
      <c r="P20" s="15"/>
      <c r="Q20" s="15"/>
      <c r="R20" s="15"/>
      <c r="S20" s="15"/>
    </row>
    <row r="21" customFormat="false" ht="23.85" hidden="false" customHeight="false" outlineLevel="0" collapsed="false">
      <c r="A21" s="17" t="s">
        <v>13</v>
      </c>
      <c r="B21" s="12" t="n">
        <v>20</v>
      </c>
      <c r="C21" s="13" t="s">
        <v>203</v>
      </c>
      <c r="D21" s="12" t="s">
        <v>204</v>
      </c>
      <c r="E21" s="12" t="n">
        <v>95</v>
      </c>
      <c r="F21" s="12" t="s">
        <v>205</v>
      </c>
      <c r="G21" s="12" t="s">
        <v>206</v>
      </c>
      <c r="H21" s="12" t="s">
        <v>207</v>
      </c>
      <c r="I21" s="12" t="s">
        <v>208</v>
      </c>
      <c r="J21" s="12" t="s">
        <v>209</v>
      </c>
      <c r="K21" s="12" t="s">
        <v>59</v>
      </c>
      <c r="L21" s="12" t="s">
        <v>210</v>
      </c>
      <c r="M21" s="14" t="s">
        <v>211</v>
      </c>
      <c r="N21" s="15" t="s">
        <v>26</v>
      </c>
      <c r="O21" s="16"/>
      <c r="P21" s="15"/>
      <c r="Q21" s="15"/>
      <c r="R21" s="15"/>
      <c r="S21" s="15"/>
    </row>
    <row r="22" customFormat="false" ht="23.85" hidden="false" customHeight="false" outlineLevel="0" collapsed="false">
      <c r="A22" s="17" t="s">
        <v>13</v>
      </c>
      <c r="B22" s="12" t="n">
        <v>21</v>
      </c>
      <c r="C22" s="13" t="s">
        <v>212</v>
      </c>
      <c r="D22" s="12" t="s">
        <v>213</v>
      </c>
      <c r="E22" s="12" t="n">
        <v>100</v>
      </c>
      <c r="F22" s="12" t="s">
        <v>214</v>
      </c>
      <c r="G22" s="12" t="s">
        <v>215</v>
      </c>
      <c r="H22" s="12" t="s">
        <v>216</v>
      </c>
      <c r="I22" s="12"/>
      <c r="J22" s="12" t="s">
        <v>66</v>
      </c>
      <c r="K22" s="12" t="s">
        <v>116</v>
      </c>
      <c r="L22" s="12" t="s">
        <v>217</v>
      </c>
      <c r="M22" s="14" t="s">
        <v>218</v>
      </c>
      <c r="N22" s="15" t="s">
        <v>26</v>
      </c>
      <c r="O22" s="16"/>
      <c r="P22" s="15"/>
      <c r="Q22" s="15"/>
      <c r="R22" s="15"/>
      <c r="S22" s="15"/>
    </row>
    <row r="23" customFormat="false" ht="23.85" hidden="false" customHeight="false" outlineLevel="0" collapsed="false">
      <c r="A23" s="17" t="s">
        <v>13</v>
      </c>
      <c r="B23" s="12" t="n">
        <v>22</v>
      </c>
      <c r="C23" s="13" t="s">
        <v>219</v>
      </c>
      <c r="D23" s="12" t="s">
        <v>213</v>
      </c>
      <c r="E23" s="12" t="n">
        <v>100</v>
      </c>
      <c r="F23" s="12" t="s">
        <v>214</v>
      </c>
      <c r="G23" s="12" t="s">
        <v>220</v>
      </c>
      <c r="H23" s="12" t="s">
        <v>221</v>
      </c>
      <c r="I23" s="12"/>
      <c r="J23" s="12" t="s">
        <v>66</v>
      </c>
      <c r="K23" s="12" t="s">
        <v>222</v>
      </c>
      <c r="L23" s="12" t="s">
        <v>217</v>
      </c>
      <c r="M23" s="14" t="s">
        <v>223</v>
      </c>
      <c r="N23" s="15" t="s">
        <v>26</v>
      </c>
      <c r="O23" s="16"/>
      <c r="P23" s="15"/>
      <c r="Q23" s="15"/>
      <c r="R23" s="15"/>
      <c r="S23" s="15"/>
    </row>
    <row r="24" customFormat="false" ht="23.85" hidden="false" customHeight="false" outlineLevel="0" collapsed="false">
      <c r="A24" s="17" t="s">
        <v>13</v>
      </c>
      <c r="B24" s="12" t="n">
        <v>23</v>
      </c>
      <c r="C24" s="13" t="s">
        <v>224</v>
      </c>
      <c r="D24" s="12" t="s">
        <v>213</v>
      </c>
      <c r="E24" s="12" t="n">
        <v>100</v>
      </c>
      <c r="F24" s="12" t="s">
        <v>214</v>
      </c>
      <c r="G24" s="12" t="s">
        <v>225</v>
      </c>
      <c r="H24" s="12" t="s">
        <v>226</v>
      </c>
      <c r="I24" s="12"/>
      <c r="J24" s="12" t="s">
        <v>66</v>
      </c>
      <c r="K24" s="12" t="s">
        <v>222</v>
      </c>
      <c r="L24" s="12" t="s">
        <v>217</v>
      </c>
      <c r="M24" s="14" t="s">
        <v>227</v>
      </c>
      <c r="N24" s="15" t="s">
        <v>26</v>
      </c>
      <c r="O24" s="16"/>
      <c r="P24" s="15"/>
      <c r="Q24" s="15"/>
      <c r="R24" s="15"/>
      <c r="S24" s="15"/>
    </row>
    <row r="25" customFormat="false" ht="23.85" hidden="false" customHeight="false" outlineLevel="0" collapsed="false">
      <c r="A25" s="17" t="s">
        <v>13</v>
      </c>
      <c r="B25" s="12" t="n">
        <v>24</v>
      </c>
      <c r="C25" s="13" t="s">
        <v>228</v>
      </c>
      <c r="D25" s="12" t="s">
        <v>229</v>
      </c>
      <c r="E25" s="12" t="n">
        <v>110</v>
      </c>
      <c r="F25" s="12" t="s">
        <v>230</v>
      </c>
      <c r="G25" s="12" t="s">
        <v>231</v>
      </c>
      <c r="H25" s="12"/>
      <c r="I25" s="12" t="s">
        <v>232</v>
      </c>
      <c r="J25" s="12" t="s">
        <v>233</v>
      </c>
      <c r="K25" s="12" t="s">
        <v>59</v>
      </c>
      <c r="L25" s="12" t="s">
        <v>234</v>
      </c>
      <c r="M25" s="14" t="s">
        <v>235</v>
      </c>
      <c r="N25" s="15" t="s">
        <v>26</v>
      </c>
      <c r="O25" s="16"/>
      <c r="P25" s="15"/>
      <c r="Q25" s="15"/>
      <c r="R25" s="15"/>
      <c r="S25" s="15"/>
    </row>
    <row r="26" customFormat="false" ht="23.85" hidden="false" customHeight="false" outlineLevel="0" collapsed="false">
      <c r="A26" s="18" t="s">
        <v>15</v>
      </c>
      <c r="B26" s="12" t="n">
        <v>25</v>
      </c>
      <c r="C26" s="13" t="s">
        <v>236</v>
      </c>
      <c r="D26" s="12" t="s">
        <v>237</v>
      </c>
      <c r="E26" s="12" t="n">
        <v>15</v>
      </c>
      <c r="F26" s="12" t="s">
        <v>238</v>
      </c>
      <c r="G26" s="12" t="s">
        <v>239</v>
      </c>
      <c r="H26" s="12" t="s">
        <v>240</v>
      </c>
      <c r="I26" s="12"/>
      <c r="J26" s="12" t="s">
        <v>241</v>
      </c>
      <c r="K26" s="12" t="s">
        <v>116</v>
      </c>
      <c r="L26" s="12" t="s">
        <v>242</v>
      </c>
      <c r="M26" s="14" t="s">
        <v>243</v>
      </c>
      <c r="N26" s="15" t="s">
        <v>26</v>
      </c>
      <c r="O26" s="16"/>
      <c r="P26" s="15"/>
      <c r="Q26" s="15"/>
      <c r="R26" s="15"/>
      <c r="S26" s="15"/>
    </row>
    <row r="27" customFormat="false" ht="23.85" hidden="false" customHeight="false" outlineLevel="0" collapsed="false">
      <c r="A27" s="18" t="s">
        <v>15</v>
      </c>
      <c r="B27" s="12" t="n">
        <v>26</v>
      </c>
      <c r="C27" s="13" t="s">
        <v>244</v>
      </c>
      <c r="D27" s="12" t="s">
        <v>237</v>
      </c>
      <c r="E27" s="12" t="n">
        <v>15</v>
      </c>
      <c r="F27" s="12" t="s">
        <v>245</v>
      </c>
      <c r="G27" s="12" t="s">
        <v>246</v>
      </c>
      <c r="H27" s="12" t="s">
        <v>247</v>
      </c>
      <c r="I27" s="12"/>
      <c r="J27" s="12" t="s">
        <v>248</v>
      </c>
      <c r="K27" s="12" t="s">
        <v>116</v>
      </c>
      <c r="L27" s="12" t="s">
        <v>249</v>
      </c>
      <c r="M27" s="14" t="s">
        <v>250</v>
      </c>
      <c r="N27" s="15" t="s">
        <v>26</v>
      </c>
      <c r="O27" s="16"/>
      <c r="P27" s="15"/>
      <c r="Q27" s="15"/>
      <c r="R27" s="15"/>
      <c r="S27" s="15"/>
    </row>
    <row r="28" customFormat="false" ht="23.85" hidden="false" customHeight="false" outlineLevel="0" collapsed="false">
      <c r="A28" s="18" t="s">
        <v>15</v>
      </c>
      <c r="B28" s="12" t="n">
        <v>27</v>
      </c>
      <c r="C28" s="13" t="s">
        <v>251</v>
      </c>
      <c r="D28" s="12" t="s">
        <v>97</v>
      </c>
      <c r="E28" s="12" t="n">
        <v>45</v>
      </c>
      <c r="F28" s="12" t="s">
        <v>252</v>
      </c>
      <c r="G28" s="12" t="s">
        <v>253</v>
      </c>
      <c r="H28" s="12"/>
      <c r="I28" s="12" t="s">
        <v>254</v>
      </c>
      <c r="J28" s="12" t="s">
        <v>255</v>
      </c>
      <c r="K28" s="12" t="s">
        <v>116</v>
      </c>
      <c r="L28" s="12" t="s">
        <v>256</v>
      </c>
      <c r="M28" s="14" t="s">
        <v>257</v>
      </c>
      <c r="N28" s="15" t="s">
        <v>26</v>
      </c>
      <c r="O28" s="16"/>
      <c r="P28" s="15"/>
      <c r="Q28" s="15"/>
      <c r="R28" s="15"/>
      <c r="S28" s="15"/>
    </row>
    <row r="29" customFormat="false" ht="23.85" hidden="false" customHeight="false" outlineLevel="0" collapsed="false">
      <c r="A29" s="18" t="s">
        <v>15</v>
      </c>
      <c r="B29" s="12" t="n">
        <v>28</v>
      </c>
      <c r="C29" s="13" t="s">
        <v>258</v>
      </c>
      <c r="D29" s="12" t="s">
        <v>259</v>
      </c>
      <c r="E29" s="12" t="n">
        <v>50</v>
      </c>
      <c r="F29" s="12" t="s">
        <v>260</v>
      </c>
      <c r="G29" s="12" t="s">
        <v>261</v>
      </c>
      <c r="H29" s="12" t="s">
        <v>262</v>
      </c>
      <c r="I29" s="12"/>
      <c r="J29" s="12" t="s">
        <v>66</v>
      </c>
      <c r="K29" s="12" t="s">
        <v>116</v>
      </c>
      <c r="L29" s="12" t="s">
        <v>263</v>
      </c>
      <c r="M29" s="14" t="s">
        <v>264</v>
      </c>
      <c r="N29" s="15" t="s">
        <v>26</v>
      </c>
      <c r="O29" s="16"/>
      <c r="P29" s="15"/>
      <c r="Q29" s="15"/>
      <c r="R29" s="15"/>
      <c r="S29" s="15"/>
    </row>
    <row r="30" customFormat="false" ht="23.85" hidden="false" customHeight="false" outlineLevel="0" collapsed="false">
      <c r="A30" s="18" t="s">
        <v>15</v>
      </c>
      <c r="B30" s="12" t="n">
        <v>29</v>
      </c>
      <c r="C30" s="13" t="s">
        <v>265</v>
      </c>
      <c r="D30" s="12" t="s">
        <v>266</v>
      </c>
      <c r="E30" s="12" t="n">
        <v>55</v>
      </c>
      <c r="F30" s="12" t="s">
        <v>267</v>
      </c>
      <c r="G30" s="12" t="s">
        <v>268</v>
      </c>
      <c r="H30" s="12" t="s">
        <v>269</v>
      </c>
      <c r="I30" s="12" t="s">
        <v>269</v>
      </c>
      <c r="J30" s="12" t="s">
        <v>270</v>
      </c>
      <c r="K30" s="12" t="s">
        <v>271</v>
      </c>
      <c r="L30" s="12" t="s">
        <v>272</v>
      </c>
      <c r="M30" s="14" t="s">
        <v>273</v>
      </c>
      <c r="N30" s="15" t="s">
        <v>26</v>
      </c>
      <c r="O30" s="16"/>
      <c r="P30" s="15"/>
      <c r="Q30" s="15"/>
      <c r="R30" s="15"/>
      <c r="S30" s="15"/>
    </row>
    <row r="31" customFormat="false" ht="15" hidden="false" customHeight="false" outlineLevel="0" collapsed="false">
      <c r="A31" s="18" t="s">
        <v>15</v>
      </c>
      <c r="B31" s="12" t="n">
        <v>30</v>
      </c>
      <c r="C31" s="13" t="s">
        <v>274</v>
      </c>
      <c r="D31" s="12" t="s">
        <v>266</v>
      </c>
      <c r="E31" s="12" t="n">
        <v>55</v>
      </c>
      <c r="F31" s="12" t="s">
        <v>275</v>
      </c>
      <c r="G31" s="12" t="s">
        <v>276</v>
      </c>
      <c r="H31" s="12"/>
      <c r="I31" s="12" t="s">
        <v>277</v>
      </c>
      <c r="J31" s="12" t="s">
        <v>278</v>
      </c>
      <c r="K31" s="12" t="s">
        <v>59</v>
      </c>
      <c r="L31" s="12" t="s">
        <v>279</v>
      </c>
      <c r="M31" s="14" t="s">
        <v>280</v>
      </c>
      <c r="N31" s="15" t="s">
        <v>26</v>
      </c>
      <c r="O31" s="16"/>
      <c r="P31" s="15"/>
      <c r="Q31" s="15"/>
      <c r="R31" s="15"/>
      <c r="S31" s="15"/>
    </row>
    <row r="32" customFormat="false" ht="23.85" hidden="false" customHeight="false" outlineLevel="0" collapsed="false">
      <c r="A32" s="18" t="s">
        <v>15</v>
      </c>
      <c r="B32" s="12" t="n">
        <v>31</v>
      </c>
      <c r="C32" s="13" t="s">
        <v>281</v>
      </c>
      <c r="D32" s="12" t="s">
        <v>266</v>
      </c>
      <c r="E32" s="12" t="n">
        <v>55</v>
      </c>
      <c r="F32" s="12" t="s">
        <v>282</v>
      </c>
      <c r="G32" s="12" t="s">
        <v>283</v>
      </c>
      <c r="H32" s="12"/>
      <c r="I32" s="12" t="s">
        <v>284</v>
      </c>
      <c r="J32" s="12" t="s">
        <v>285</v>
      </c>
      <c r="K32" s="12" t="s">
        <v>59</v>
      </c>
      <c r="L32" s="12" t="s">
        <v>286</v>
      </c>
      <c r="M32" s="14" t="s">
        <v>287</v>
      </c>
      <c r="N32" s="15" t="s">
        <v>26</v>
      </c>
      <c r="O32" s="16"/>
      <c r="P32" s="15"/>
      <c r="Q32" s="15"/>
      <c r="R32" s="15"/>
      <c r="S32" s="15"/>
    </row>
    <row r="33" customFormat="false" ht="23.85" hidden="false" customHeight="false" outlineLevel="0" collapsed="false">
      <c r="A33" s="18" t="s">
        <v>15</v>
      </c>
      <c r="B33" s="12" t="n">
        <v>32</v>
      </c>
      <c r="C33" s="13" t="s">
        <v>288</v>
      </c>
      <c r="D33" s="12" t="s">
        <v>289</v>
      </c>
      <c r="E33" s="12" t="n">
        <v>65</v>
      </c>
      <c r="F33" s="12" t="s">
        <v>290</v>
      </c>
      <c r="G33" s="12" t="s">
        <v>291</v>
      </c>
      <c r="H33" s="12" t="s">
        <v>292</v>
      </c>
      <c r="I33" s="12"/>
      <c r="J33" s="12" t="s">
        <v>293</v>
      </c>
      <c r="K33" s="12" t="s">
        <v>116</v>
      </c>
      <c r="L33" s="12" t="s">
        <v>294</v>
      </c>
      <c r="M33" s="14" t="s">
        <v>295</v>
      </c>
      <c r="N33" s="15" t="s">
        <v>26</v>
      </c>
      <c r="O33" s="16"/>
      <c r="P33" s="15"/>
      <c r="Q33" s="15"/>
      <c r="R33" s="15"/>
      <c r="S33" s="15"/>
    </row>
    <row r="34" customFormat="false" ht="23.85" hidden="false" customHeight="false" outlineLevel="0" collapsed="false">
      <c r="A34" s="18" t="s">
        <v>15</v>
      </c>
      <c r="B34" s="12" t="n">
        <v>33</v>
      </c>
      <c r="C34" s="13" t="s">
        <v>296</v>
      </c>
      <c r="D34" s="12" t="s">
        <v>146</v>
      </c>
      <c r="E34" s="12" t="n">
        <v>75</v>
      </c>
      <c r="F34" s="12" t="s">
        <v>297</v>
      </c>
      <c r="G34" s="12" t="s">
        <v>298</v>
      </c>
      <c r="H34" s="12" t="s">
        <v>299</v>
      </c>
      <c r="I34" s="12" t="s">
        <v>300</v>
      </c>
      <c r="J34" s="12" t="s">
        <v>301</v>
      </c>
      <c r="K34" s="12" t="s">
        <v>59</v>
      </c>
      <c r="L34" s="12" t="s">
        <v>302</v>
      </c>
      <c r="M34" s="14" t="s">
        <v>303</v>
      </c>
      <c r="N34" s="15" t="s">
        <v>26</v>
      </c>
      <c r="O34" s="16"/>
      <c r="P34" s="15"/>
      <c r="Q34" s="15"/>
      <c r="R34" s="15"/>
      <c r="S34" s="15"/>
    </row>
    <row r="35" customFormat="false" ht="23.85" hidden="false" customHeight="false" outlineLevel="0" collapsed="false">
      <c r="A35" s="18" t="s">
        <v>15</v>
      </c>
      <c r="B35" s="12" t="n">
        <v>34</v>
      </c>
      <c r="C35" s="13" t="s">
        <v>304</v>
      </c>
      <c r="D35" s="12" t="s">
        <v>146</v>
      </c>
      <c r="E35" s="12" t="n">
        <v>75</v>
      </c>
      <c r="F35" s="12" t="s">
        <v>305</v>
      </c>
      <c r="G35" s="12" t="s">
        <v>306</v>
      </c>
      <c r="H35" s="12" t="s">
        <v>307</v>
      </c>
      <c r="I35" s="12" t="s">
        <v>308</v>
      </c>
      <c r="J35" s="12" t="s">
        <v>309</v>
      </c>
      <c r="K35" s="12" t="s">
        <v>59</v>
      </c>
      <c r="L35" s="12" t="s">
        <v>310</v>
      </c>
      <c r="M35" s="14" t="s">
        <v>311</v>
      </c>
      <c r="N35" s="15" t="s">
        <v>26</v>
      </c>
      <c r="O35" s="16"/>
      <c r="P35" s="15"/>
      <c r="Q35" s="15"/>
      <c r="R35" s="15"/>
      <c r="S35" s="15"/>
    </row>
    <row r="36" customFormat="false" ht="23.85" hidden="false" customHeight="false" outlineLevel="0" collapsed="false">
      <c r="A36" s="18" t="s">
        <v>15</v>
      </c>
      <c r="B36" s="12" t="n">
        <v>35</v>
      </c>
      <c r="C36" s="13" t="s">
        <v>312</v>
      </c>
      <c r="D36" s="12" t="s">
        <v>313</v>
      </c>
      <c r="E36" s="12" t="n">
        <v>80</v>
      </c>
      <c r="F36" s="12" t="s">
        <v>314</v>
      </c>
      <c r="G36" s="12" t="s">
        <v>315</v>
      </c>
      <c r="H36" s="12" t="s">
        <v>316</v>
      </c>
      <c r="I36" s="12" t="s">
        <v>317</v>
      </c>
      <c r="J36" s="12" t="s">
        <v>318</v>
      </c>
      <c r="K36" s="12" t="s">
        <v>59</v>
      </c>
      <c r="L36" s="12" t="s">
        <v>319</v>
      </c>
      <c r="M36" s="14" t="s">
        <v>320</v>
      </c>
      <c r="N36" s="15" t="s">
        <v>26</v>
      </c>
      <c r="O36" s="16"/>
      <c r="P36" s="15"/>
      <c r="Q36" s="15"/>
      <c r="R36" s="15"/>
      <c r="S36" s="15"/>
    </row>
    <row r="37" customFormat="false" ht="23.85" hidden="false" customHeight="false" outlineLevel="0" collapsed="false">
      <c r="A37" s="18" t="s">
        <v>15</v>
      </c>
      <c r="B37" s="12" t="n">
        <v>36</v>
      </c>
      <c r="C37" s="13" t="s">
        <v>321</v>
      </c>
      <c r="D37" s="12" t="s">
        <v>171</v>
      </c>
      <c r="E37" s="12" t="n">
        <v>95</v>
      </c>
      <c r="F37" s="12" t="s">
        <v>322</v>
      </c>
      <c r="G37" s="12" t="s">
        <v>323</v>
      </c>
      <c r="H37" s="12" t="s">
        <v>324</v>
      </c>
      <c r="I37" s="12" t="s">
        <v>325</v>
      </c>
      <c r="J37" s="12" t="s">
        <v>326</v>
      </c>
      <c r="K37" s="12" t="s">
        <v>59</v>
      </c>
      <c r="L37" s="12" t="s">
        <v>327</v>
      </c>
      <c r="M37" s="14" t="s">
        <v>328</v>
      </c>
      <c r="N37" s="15" t="s">
        <v>26</v>
      </c>
      <c r="O37" s="16"/>
      <c r="P37" s="15"/>
      <c r="Q37" s="15"/>
      <c r="R37" s="15"/>
      <c r="S37" s="15"/>
    </row>
    <row r="38" customFormat="false" ht="23.85" hidden="false" customHeight="false" outlineLevel="0" collapsed="false">
      <c r="A38" s="18" t="s">
        <v>15</v>
      </c>
      <c r="B38" s="12" t="n">
        <v>37</v>
      </c>
      <c r="C38" s="13" t="s">
        <v>329</v>
      </c>
      <c r="D38" s="12" t="s">
        <v>330</v>
      </c>
      <c r="E38" s="12" t="n">
        <v>95</v>
      </c>
      <c r="F38" s="12" t="s">
        <v>331</v>
      </c>
      <c r="G38" s="12" t="s">
        <v>332</v>
      </c>
      <c r="H38" s="12" t="s">
        <v>333</v>
      </c>
      <c r="I38" s="12" t="s">
        <v>334</v>
      </c>
      <c r="J38" s="12" t="s">
        <v>335</v>
      </c>
      <c r="K38" s="12" t="s">
        <v>116</v>
      </c>
      <c r="L38" s="12" t="s">
        <v>336</v>
      </c>
      <c r="M38" s="14" t="s">
        <v>337</v>
      </c>
      <c r="N38" s="15" t="s">
        <v>26</v>
      </c>
      <c r="O38" s="16"/>
      <c r="P38" s="15"/>
      <c r="Q38" s="15"/>
      <c r="R38" s="15"/>
      <c r="S38" s="15"/>
    </row>
    <row r="39" customFormat="false" ht="23.85" hidden="false" customHeight="false" outlineLevel="0" collapsed="false">
      <c r="A39" s="18" t="s">
        <v>15</v>
      </c>
      <c r="B39" s="12" t="n">
        <v>38</v>
      </c>
      <c r="C39" s="13" t="s">
        <v>338</v>
      </c>
      <c r="D39" s="12" t="s">
        <v>339</v>
      </c>
      <c r="E39" s="12" t="n">
        <v>100</v>
      </c>
      <c r="F39" s="12" t="s">
        <v>340</v>
      </c>
      <c r="G39" s="12" t="s">
        <v>341</v>
      </c>
      <c r="H39" s="12" t="s">
        <v>342</v>
      </c>
      <c r="I39" s="12" t="s">
        <v>343</v>
      </c>
      <c r="J39" s="12" t="s">
        <v>344</v>
      </c>
      <c r="K39" s="12" t="s">
        <v>59</v>
      </c>
      <c r="L39" s="12" t="s">
        <v>345</v>
      </c>
      <c r="M39" s="14" t="s">
        <v>346</v>
      </c>
      <c r="N39" s="15" t="s">
        <v>26</v>
      </c>
      <c r="O39" s="16"/>
      <c r="P39" s="15"/>
      <c r="Q39" s="15"/>
      <c r="R39" s="15"/>
      <c r="S39" s="15"/>
    </row>
    <row r="40" customFormat="false" ht="23.85" hidden="false" customHeight="false" outlineLevel="0" collapsed="false">
      <c r="A40" s="19" t="s">
        <v>17</v>
      </c>
      <c r="B40" s="12" t="n">
        <v>39</v>
      </c>
      <c r="C40" s="13" t="s">
        <v>347</v>
      </c>
      <c r="D40" s="12" t="s">
        <v>79</v>
      </c>
      <c r="E40" s="12" t="n">
        <v>25</v>
      </c>
      <c r="F40" s="12" t="s">
        <v>348</v>
      </c>
      <c r="G40" s="12" t="s">
        <v>349</v>
      </c>
      <c r="H40" s="12" t="s">
        <v>350</v>
      </c>
      <c r="I40" s="12"/>
      <c r="J40" s="12" t="s">
        <v>351</v>
      </c>
      <c r="K40" s="12" t="s">
        <v>116</v>
      </c>
      <c r="L40" s="12" t="s">
        <v>352</v>
      </c>
      <c r="M40" s="14" t="s">
        <v>353</v>
      </c>
      <c r="N40" s="15" t="s">
        <v>26</v>
      </c>
      <c r="O40" s="16"/>
      <c r="P40" s="15"/>
      <c r="Q40" s="15"/>
      <c r="R40" s="15"/>
      <c r="S40" s="15"/>
    </row>
    <row r="41" customFormat="false" ht="23.85" hidden="false" customHeight="false" outlineLevel="0" collapsed="false">
      <c r="A41" s="19" t="s">
        <v>17</v>
      </c>
      <c r="B41" s="12" t="n">
        <v>40</v>
      </c>
      <c r="C41" s="13" t="s">
        <v>354</v>
      </c>
      <c r="D41" s="12" t="s">
        <v>97</v>
      </c>
      <c r="E41" s="12" t="n">
        <v>45</v>
      </c>
      <c r="F41" s="12" t="s">
        <v>355</v>
      </c>
      <c r="G41" s="12" t="s">
        <v>356</v>
      </c>
      <c r="H41" s="12" t="s">
        <v>357</v>
      </c>
      <c r="I41" s="12" t="s">
        <v>358</v>
      </c>
      <c r="J41" s="12" t="s">
        <v>359</v>
      </c>
      <c r="K41" s="12" t="s">
        <v>59</v>
      </c>
      <c r="L41" s="12" t="s">
        <v>360</v>
      </c>
      <c r="M41" s="14" t="s">
        <v>361</v>
      </c>
      <c r="N41" s="15" t="s">
        <v>26</v>
      </c>
      <c r="O41" s="16"/>
      <c r="P41" s="15"/>
      <c r="Q41" s="15"/>
      <c r="R41" s="15"/>
      <c r="S41" s="15"/>
    </row>
    <row r="42" customFormat="false" ht="23.85" hidden="false" customHeight="false" outlineLevel="0" collapsed="false">
      <c r="A42" s="19" t="s">
        <v>17</v>
      </c>
      <c r="B42" s="12" t="n">
        <v>41</v>
      </c>
      <c r="C42" s="13" t="s">
        <v>362</v>
      </c>
      <c r="D42" s="12" t="s">
        <v>97</v>
      </c>
      <c r="E42" s="12" t="n">
        <v>45</v>
      </c>
      <c r="F42" s="12" t="s">
        <v>363</v>
      </c>
      <c r="G42" s="12" t="s">
        <v>364</v>
      </c>
      <c r="H42" s="12"/>
      <c r="I42" s="12" t="s">
        <v>365</v>
      </c>
      <c r="J42" s="12" t="s">
        <v>366</v>
      </c>
      <c r="K42" s="12" t="s">
        <v>59</v>
      </c>
      <c r="L42" s="12" t="s">
        <v>367</v>
      </c>
      <c r="M42" s="14" t="s">
        <v>368</v>
      </c>
      <c r="N42" s="15" t="s">
        <v>26</v>
      </c>
      <c r="O42" s="16"/>
      <c r="P42" s="15"/>
      <c r="Q42" s="15"/>
      <c r="R42" s="15"/>
      <c r="S42" s="15"/>
    </row>
    <row r="43" customFormat="false" ht="23.85" hidden="false" customHeight="false" outlineLevel="0" collapsed="false">
      <c r="A43" s="19" t="s">
        <v>17</v>
      </c>
      <c r="B43" s="12" t="n">
        <v>42</v>
      </c>
      <c r="C43" s="13" t="s">
        <v>369</v>
      </c>
      <c r="D43" s="12" t="s">
        <v>97</v>
      </c>
      <c r="E43" s="12" t="n">
        <v>45</v>
      </c>
      <c r="F43" s="12" t="s">
        <v>370</v>
      </c>
      <c r="G43" s="12" t="s">
        <v>371</v>
      </c>
      <c r="H43" s="12" t="s">
        <v>372</v>
      </c>
      <c r="I43" s="12" t="s">
        <v>373</v>
      </c>
      <c r="J43" s="12" t="s">
        <v>374</v>
      </c>
      <c r="K43" s="12" t="s">
        <v>59</v>
      </c>
      <c r="L43" s="12" t="s">
        <v>375</v>
      </c>
      <c r="M43" s="14" t="s">
        <v>376</v>
      </c>
      <c r="N43" s="15" t="s">
        <v>26</v>
      </c>
      <c r="O43" s="16"/>
      <c r="P43" s="15"/>
      <c r="Q43" s="15"/>
      <c r="R43" s="15"/>
      <c r="S43" s="15"/>
    </row>
    <row r="44" customFormat="false" ht="23.85" hidden="false" customHeight="false" outlineLevel="0" collapsed="false">
      <c r="A44" s="19" t="s">
        <v>17</v>
      </c>
      <c r="B44" s="12" t="n">
        <v>43</v>
      </c>
      <c r="C44" s="13" t="s">
        <v>377</v>
      </c>
      <c r="D44" s="12" t="s">
        <v>97</v>
      </c>
      <c r="E44" s="12" t="n">
        <v>45</v>
      </c>
      <c r="F44" s="12" t="s">
        <v>370</v>
      </c>
      <c r="G44" s="12" t="s">
        <v>378</v>
      </c>
      <c r="H44" s="12" t="s">
        <v>379</v>
      </c>
      <c r="I44" s="12"/>
      <c r="J44" s="12" t="s">
        <v>380</v>
      </c>
      <c r="K44" s="12" t="s">
        <v>271</v>
      </c>
      <c r="L44" s="12" t="s">
        <v>381</v>
      </c>
      <c r="M44" s="14" t="s">
        <v>382</v>
      </c>
      <c r="N44" s="15" t="s">
        <v>26</v>
      </c>
      <c r="O44" s="16"/>
      <c r="P44" s="15"/>
      <c r="Q44" s="15"/>
      <c r="R44" s="15"/>
      <c r="S44" s="15"/>
    </row>
    <row r="45" customFormat="false" ht="23.85" hidden="false" customHeight="false" outlineLevel="0" collapsed="false">
      <c r="A45" s="19" t="s">
        <v>17</v>
      </c>
      <c r="B45" s="12" t="n">
        <v>44</v>
      </c>
      <c r="C45" s="13" t="s">
        <v>383</v>
      </c>
      <c r="D45" s="12" t="s">
        <v>97</v>
      </c>
      <c r="E45" s="12" t="n">
        <v>45</v>
      </c>
      <c r="F45" s="12" t="s">
        <v>370</v>
      </c>
      <c r="G45" s="12" t="s">
        <v>384</v>
      </c>
      <c r="H45" s="12" t="s">
        <v>385</v>
      </c>
      <c r="I45" s="12"/>
      <c r="J45" s="12" t="s">
        <v>386</v>
      </c>
      <c r="K45" s="12" t="s">
        <v>136</v>
      </c>
      <c r="L45" s="12" t="s">
        <v>387</v>
      </c>
      <c r="M45" s="14" t="s">
        <v>388</v>
      </c>
      <c r="N45" s="15" t="s">
        <v>26</v>
      </c>
      <c r="O45" s="16"/>
      <c r="P45" s="15"/>
      <c r="Q45" s="15"/>
      <c r="R45" s="15"/>
      <c r="S45" s="15"/>
    </row>
    <row r="46" customFormat="false" ht="23.85" hidden="false" customHeight="false" outlineLevel="0" collapsed="false">
      <c r="A46" s="19" t="s">
        <v>17</v>
      </c>
      <c r="B46" s="12" t="n">
        <v>45</v>
      </c>
      <c r="C46" s="13" t="s">
        <v>389</v>
      </c>
      <c r="D46" s="12" t="s">
        <v>390</v>
      </c>
      <c r="E46" s="12" t="n">
        <v>50</v>
      </c>
      <c r="F46" s="12" t="s">
        <v>391</v>
      </c>
      <c r="G46" s="12" t="s">
        <v>392</v>
      </c>
      <c r="H46" s="12" t="s">
        <v>393</v>
      </c>
      <c r="I46" s="12" t="s">
        <v>394</v>
      </c>
      <c r="J46" s="12" t="s">
        <v>395</v>
      </c>
      <c r="K46" s="12" t="s">
        <v>59</v>
      </c>
      <c r="L46" s="12" t="s">
        <v>396</v>
      </c>
      <c r="M46" s="14" t="s">
        <v>397</v>
      </c>
      <c r="N46" s="15" t="s">
        <v>26</v>
      </c>
      <c r="O46" s="16"/>
      <c r="P46" s="15"/>
      <c r="Q46" s="15"/>
      <c r="R46" s="15"/>
      <c r="S46" s="15"/>
    </row>
    <row r="47" customFormat="false" ht="23.85" hidden="false" customHeight="false" outlineLevel="0" collapsed="false">
      <c r="A47" s="19" t="s">
        <v>17</v>
      </c>
      <c r="B47" s="12" t="n">
        <v>46</v>
      </c>
      <c r="C47" s="13" t="s">
        <v>398</v>
      </c>
      <c r="D47" s="12" t="s">
        <v>399</v>
      </c>
      <c r="E47" s="12" t="n">
        <v>80</v>
      </c>
      <c r="F47" s="12" t="s">
        <v>400</v>
      </c>
      <c r="G47" s="12" t="s">
        <v>401</v>
      </c>
      <c r="H47" s="12" t="s">
        <v>66</v>
      </c>
      <c r="I47" s="12"/>
      <c r="J47" s="12" t="s">
        <v>402</v>
      </c>
      <c r="K47" s="12" t="s">
        <v>116</v>
      </c>
      <c r="L47" s="12" t="s">
        <v>403</v>
      </c>
      <c r="M47" s="14" t="s">
        <v>404</v>
      </c>
      <c r="N47" s="15" t="s">
        <v>26</v>
      </c>
      <c r="O47" s="16"/>
      <c r="P47" s="15"/>
      <c r="Q47" s="15"/>
      <c r="R47" s="15"/>
      <c r="S47" s="15"/>
    </row>
    <row r="48" customFormat="false" ht="23.85" hidden="false" customHeight="false" outlineLevel="0" collapsed="false">
      <c r="A48" s="19" t="s">
        <v>17</v>
      </c>
      <c r="B48" s="12" t="n">
        <v>47</v>
      </c>
      <c r="C48" s="13" t="s">
        <v>405</v>
      </c>
      <c r="D48" s="12" t="s">
        <v>339</v>
      </c>
      <c r="E48" s="12" t="n">
        <v>100</v>
      </c>
      <c r="F48" s="12" t="s">
        <v>406</v>
      </c>
      <c r="G48" s="12" t="s">
        <v>407</v>
      </c>
      <c r="H48" s="12" t="s">
        <v>408</v>
      </c>
      <c r="I48" s="12" t="s">
        <v>409</v>
      </c>
      <c r="J48" s="12" t="s">
        <v>410</v>
      </c>
      <c r="K48" s="12" t="s">
        <v>116</v>
      </c>
      <c r="L48" s="12" t="s">
        <v>411</v>
      </c>
      <c r="M48" s="14" t="s">
        <v>412</v>
      </c>
      <c r="N48" s="15" t="s">
        <v>26</v>
      </c>
      <c r="O48" s="16"/>
      <c r="P48" s="15"/>
      <c r="Q48" s="15"/>
      <c r="R48" s="15"/>
      <c r="S48" s="15"/>
    </row>
    <row r="49" customFormat="false" ht="23.85" hidden="false" customHeight="false" outlineLevel="0" collapsed="false">
      <c r="A49" s="19" t="s">
        <v>17</v>
      </c>
      <c r="B49" s="12" t="n">
        <v>48</v>
      </c>
      <c r="C49" s="13" t="s">
        <v>413</v>
      </c>
      <c r="D49" s="12" t="s">
        <v>414</v>
      </c>
      <c r="E49" s="12" t="n">
        <v>105</v>
      </c>
      <c r="F49" s="12" t="s">
        <v>355</v>
      </c>
      <c r="G49" s="12" t="s">
        <v>415</v>
      </c>
      <c r="H49" s="12" t="s">
        <v>416</v>
      </c>
      <c r="I49" s="12"/>
      <c r="J49" s="12" t="s">
        <v>417</v>
      </c>
      <c r="K49" s="12" t="s">
        <v>116</v>
      </c>
      <c r="L49" s="12" t="s">
        <v>418</v>
      </c>
      <c r="M49" s="14" t="s">
        <v>419</v>
      </c>
      <c r="N49" s="15" t="s">
        <v>26</v>
      </c>
      <c r="O49" s="16"/>
      <c r="P49" s="15"/>
      <c r="Q49" s="15"/>
      <c r="R49" s="15"/>
      <c r="S49" s="15"/>
    </row>
  </sheetData>
  <autoFilter ref="A1:S49"/>
  <conditionalFormatting sqref="N2:N49">
    <cfRule type="expression" priority="2" aboveAverage="0" equalAverage="0" bottom="0" percent="0" rank="0" text="" dxfId="9">
      <formula>$N2="Interessado"</formula>
    </cfRule>
    <cfRule type="expression" priority="3" aboveAverage="0" equalAverage="0" bottom="0" percent="0" rank="0" text="" dxfId="9">
      <formula>$N2="Enviar proposta"</formula>
    </cfRule>
    <cfRule type="expression" priority="4" aboveAverage="0" equalAverage="0" bottom="0" percent="0" rank="0" text="" dxfId="10">
      <formula>$N2="Fechado"</formula>
    </cfRule>
    <cfRule type="expression" priority="5" aboveAverage="0" equalAverage="0" bottom="0" percent="0" rank="0" text="" dxfId="11">
      <formula>$N2="Sem interesse"</formula>
    </cfRule>
    <cfRule type="expression" priority="6" aboveAverage="0" equalAverage="0" bottom="0" percent="0" rank="0" text="" dxfId="12">
      <formula>$N2="Retornar"</formula>
    </cfRule>
    <cfRule type="expression" priority="7" aboveAverage="0" equalAverage="0" bottom="0" percent="0" rank="0" text="" dxfId="12">
      <formula>$N2="Sem resposta"</formula>
    </cfRule>
  </conditionalFormatting>
  <dataValidations count="1">
    <dataValidation allowBlank="true" errorStyle="stop" operator="between" showDropDown="false" showErrorMessage="false" showInputMessage="false" sqref="N2:N49" type="list">
      <formula1>"A ligar,Sem resposta,Retornar,Interessado,Enviar proposta,Fechado,Sem interesse"</formula1>
      <formula2>0</formula2>
    </dataValidation>
  </dataValidations>
  <hyperlinks>
    <hyperlink ref="M2" r:id="rId1" display="https://www.arqplast.com.br/sobrenos/"/>
    <hyperlink ref="M4" r:id="rId2" display="https://mastrapet.com.br"/>
    <hyperlink ref="M5" r:id="rId3" display="https://odinplast.com.br"/>
    <hyperlink ref="M6" r:id="rId4" display="https://www.reciclagemtiete.com.br"/>
    <hyperlink ref="M7" r:id="rId5" display="https://bcsplasticos.com.br"/>
    <hyperlink ref="M9" r:id="rId6" display="https://megplast.com.br/"/>
    <hyperlink ref="M10" r:id="rId7" display="https://makingplast.com.br/"/>
    <hyperlink ref="M11" r:id="rId8" display="https://www.guiatelefone.com/indaiatuba-sp/comercio-de-produtos-e-servicos/3058831/doga-industria-e-comercio-de-reciclagem-plastica"/>
    <hyperlink ref="M12" r:id="rId9" display="https://www.enfplastic.com/reeciclar"/>
    <hyperlink ref="M13" r:id="rId10" display="https://www.enfplastic.com/valoren"/>
    <hyperlink ref="M14" r:id="rId11" display="https://www.enfplastic.com/petim-plasticos"/>
    <hyperlink ref="M15" r:id="rId12" display="https://dannaplas.com.br/"/>
    <hyperlink ref="M16" r:id="rId13" display="https://bonafeplasticos.com.br/"/>
    <hyperlink ref="M17" r:id="rId14" display="https://www.barreflex.com.br/"/>
    <hyperlink ref="M18" r:id="rId15" display="https://wx8plasticos.com.br/"/>
    <hyperlink ref="M19" r:id="rId16" display="https://cbjreciclagem.com.br/"/>
    <hyperlink ref="M20" r:id="rId17" display="https://zupiplast.com.br/contato/"/>
    <hyperlink ref="M21" r:id="rId18" display="https://complastpolimeros.com.br"/>
    <hyperlink ref="M22" r:id="rId19" display="https://www.guiatelefone.com/santa-barbara-d-oeste-sp/comercio-de-produtos-e-servicos/3237041/infinity-plastics-do-brasil-comercio-e-reciclagem-de-plasticos"/>
    <hyperlink ref="M23" r:id="rId20" display="https://www.guiatelefone.com/santa-barbara-d-oeste-sp/comercio-de-produtos-e-servicos/2860170/camplast-recuperadora-e-comercio-de-plasticos"/>
    <hyperlink ref="M24" r:id="rId21" display="https://www.guiatelefone.com/santa-barbara-d-oeste-sp/comercio-de-produtos-e-servicos/2927706/ciel-canova-recuperadora-de-plasticos"/>
    <hyperlink ref="M25" r:id="rId22" display="https://primeplas.com.br/"/>
    <hyperlink ref="M26" r:id="rId23" display="https://www.fibertex.com/contact/subsidiaries/brazil"/>
    <hyperlink ref="M27" r:id="rId24" display="https://www.cipatex.com.br/"/>
    <hyperlink ref="M28" r:id="rId25" display="https://luzplastik.com.br/"/>
    <hyperlink ref="M29" r:id="rId26" display="https://indexabrasil.com.br/sp/votorantim/vitopel-do-brasil/"/>
    <hyperlink ref="M30" r:id="rId27" display="https://www.strapet.com.br/quem-somos/"/>
    <hyperlink ref="M31" r:id="rId28" display="https://novatextilbrasil.com.br/"/>
    <hyperlink ref="M32" r:id="rId29" display="https://polyplastic.com.br/quem-somos/"/>
    <hyperlink ref="M33" r:id="rId30" display="https://www.signode.com/pt-br/"/>
    <hyperlink ref="M34" r:id="rId31" display="https://www.finepack.com.br/"/>
    <hyperlink ref="M35" r:id="rId32" display="https://www.ecoway.com.br/"/>
    <hyperlink ref="M36" r:id="rId33" display="https://www.tectextil.com.br/contato/"/>
    <hyperlink ref="M37" r:id="rId34" display="https://www.embrasa.com.br/"/>
    <hyperlink ref="M38" r:id="rId35" display="https://fabrikadofitilho.com.br/"/>
    <hyperlink ref="M39" r:id="rId36" display="https://profil.com.br/"/>
    <hyperlink ref="M40" r:id="rId37" display="https://papiroreciclagem.com.br"/>
    <hyperlink ref="M41" r:id="rId38" display="https://ecopel.eco.br"/>
    <hyperlink ref="M42" r:id="rId39" display="https://psareciclagem.com.br"/>
    <hyperlink ref="M43" r:id="rId40" display="https://gruposalmeron.com.br"/>
    <hyperlink ref="M44" r:id="rId41" display="https://dsambiental.com.br"/>
    <hyperlink ref="M45" r:id="rId42" display="https://www.enfplastic.com/alp-ambiental"/>
    <hyperlink ref="M46" r:id="rId43" display="https://www.aparasrosariopereira.com.br"/>
    <hyperlink ref="M47" r:id="rId44" display="https://www.mfrural.com.br/detalhe/235691/sucatas-de-fitas-de-arquear-pet"/>
    <hyperlink ref="M48" r:id="rId45" display="https://sucataseco.com.br/"/>
    <hyperlink ref="M49" r:id="rId46" display="https://www.tombstonereciclagem.com.br/compra-e-venda-plasti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40"/>
    <col collapsed="false" customWidth="true" hidden="false" outlineLevel="0" max="11" min="11" style="0" width="26"/>
    <col collapsed="false" customWidth="true" hidden="false" outlineLevel="0" max="13" min="12" style="0" width="30"/>
  </cols>
  <sheetData>
    <row r="1" customFormat="false" ht="31.5" hidden="false" customHeight="true" outlineLevel="0" collapsed="false">
      <c r="A1" s="10" t="s">
        <v>420</v>
      </c>
      <c r="B1" s="10" t="s">
        <v>37</v>
      </c>
      <c r="C1" s="10" t="s">
        <v>38</v>
      </c>
      <c r="D1" s="10" t="s">
        <v>39</v>
      </c>
      <c r="E1" s="10" t="s">
        <v>421</v>
      </c>
      <c r="F1" s="10" t="s">
        <v>422</v>
      </c>
      <c r="G1" s="10" t="s">
        <v>423</v>
      </c>
      <c r="H1" s="10" t="s">
        <v>42</v>
      </c>
      <c r="I1" s="10" t="s">
        <v>424</v>
      </c>
      <c r="J1" s="10" t="s">
        <v>425</v>
      </c>
      <c r="K1" s="10" t="s">
        <v>426</v>
      </c>
      <c r="L1" s="10" t="s">
        <v>427</v>
      </c>
      <c r="M1" s="10" t="s">
        <v>47</v>
      </c>
    </row>
    <row r="2" customFormat="false" ht="35.05" hidden="false" customHeight="false" outlineLevel="0" collapsed="false">
      <c r="A2" s="12" t="s">
        <v>428</v>
      </c>
      <c r="B2" s="13" t="s">
        <v>429</v>
      </c>
      <c r="C2" s="12" t="s">
        <v>97</v>
      </c>
      <c r="D2" s="12" t="n">
        <v>45</v>
      </c>
      <c r="E2" s="12" t="s">
        <v>430</v>
      </c>
      <c r="F2" s="12" t="s">
        <v>431</v>
      </c>
      <c r="G2" s="12" t="s">
        <v>432</v>
      </c>
      <c r="H2" s="12" t="s">
        <v>433</v>
      </c>
      <c r="I2" s="12" t="s">
        <v>434</v>
      </c>
      <c r="J2" s="12" t="s">
        <v>435</v>
      </c>
      <c r="K2" s="12" t="s">
        <v>436</v>
      </c>
      <c r="L2" s="12" t="s">
        <v>437</v>
      </c>
      <c r="M2" s="14" t="s">
        <v>438</v>
      </c>
    </row>
    <row r="3" customFormat="false" ht="23.85" hidden="false" customHeight="false" outlineLevel="0" collapsed="false">
      <c r="A3" s="12" t="s">
        <v>428</v>
      </c>
      <c r="B3" s="13" t="s">
        <v>439</v>
      </c>
      <c r="C3" s="12" t="s">
        <v>97</v>
      </c>
      <c r="D3" s="12" t="n">
        <v>45</v>
      </c>
      <c r="E3" s="12" t="s">
        <v>440</v>
      </c>
      <c r="F3" s="12" t="s">
        <v>441</v>
      </c>
      <c r="G3" s="12" t="s">
        <v>442</v>
      </c>
      <c r="H3" s="12" t="s">
        <v>443</v>
      </c>
      <c r="I3" s="12" t="s">
        <v>444</v>
      </c>
      <c r="J3" s="12" t="s">
        <v>445</v>
      </c>
      <c r="K3" s="12" t="s">
        <v>446</v>
      </c>
      <c r="L3" s="12" t="s">
        <v>447</v>
      </c>
      <c r="M3" s="12" t="s">
        <v>448</v>
      </c>
    </row>
    <row r="4" customFormat="false" ht="23.85" hidden="false" customHeight="false" outlineLevel="0" collapsed="false">
      <c r="A4" s="12" t="s">
        <v>428</v>
      </c>
      <c r="B4" s="13" t="s">
        <v>96</v>
      </c>
      <c r="C4" s="12" t="s">
        <v>97</v>
      </c>
      <c r="D4" s="12" t="n">
        <v>45</v>
      </c>
      <c r="E4" s="12" t="s">
        <v>440</v>
      </c>
      <c r="F4" s="12" t="s">
        <v>449</v>
      </c>
      <c r="G4" s="12" t="s">
        <v>450</v>
      </c>
      <c r="H4" s="12" t="s">
        <v>100</v>
      </c>
      <c r="I4" s="12" t="s">
        <v>451</v>
      </c>
      <c r="J4" s="12" t="s">
        <v>452</v>
      </c>
      <c r="K4" s="12" t="s">
        <v>453</v>
      </c>
      <c r="L4" s="12" t="s">
        <v>454</v>
      </c>
      <c r="M4" s="14" t="s">
        <v>455</v>
      </c>
    </row>
    <row r="5" customFormat="false" ht="23.85" hidden="false" customHeight="false" outlineLevel="0" collapsed="false">
      <c r="A5" s="12" t="s">
        <v>428</v>
      </c>
      <c r="B5" s="13" t="s">
        <v>456</v>
      </c>
      <c r="C5" s="12" t="s">
        <v>97</v>
      </c>
      <c r="D5" s="12" t="n">
        <v>45</v>
      </c>
      <c r="E5" s="12" t="s">
        <v>457</v>
      </c>
      <c r="F5" s="12" t="s">
        <v>458</v>
      </c>
      <c r="G5" s="12" t="s">
        <v>459</v>
      </c>
      <c r="H5" s="12" t="s">
        <v>379</v>
      </c>
      <c r="I5" s="12" t="s">
        <v>460</v>
      </c>
      <c r="J5" s="12" t="s">
        <v>461</v>
      </c>
      <c r="K5" s="12" t="s">
        <v>462</v>
      </c>
      <c r="L5" s="12" t="s">
        <v>463</v>
      </c>
      <c r="M5" s="14" t="s">
        <v>464</v>
      </c>
    </row>
    <row r="6" customFormat="false" ht="23.85" hidden="false" customHeight="false" outlineLevel="0" collapsed="false">
      <c r="A6" s="12" t="s">
        <v>428</v>
      </c>
      <c r="B6" s="13" t="s">
        <v>354</v>
      </c>
      <c r="C6" s="12" t="s">
        <v>97</v>
      </c>
      <c r="D6" s="12" t="n">
        <v>45</v>
      </c>
      <c r="E6" s="12" t="s">
        <v>465</v>
      </c>
      <c r="F6" s="12" t="s">
        <v>466</v>
      </c>
      <c r="G6" s="12" t="s">
        <v>467</v>
      </c>
      <c r="H6" s="12" t="s">
        <v>357</v>
      </c>
      <c r="I6" s="12" t="s">
        <v>468</v>
      </c>
      <c r="J6" s="12" t="s">
        <v>469</v>
      </c>
      <c r="K6" s="12" t="s">
        <v>470</v>
      </c>
      <c r="L6" s="12" t="s">
        <v>471</v>
      </c>
      <c r="M6" s="14" t="s">
        <v>472</v>
      </c>
    </row>
    <row r="7" customFormat="false" ht="23.85" hidden="false" customHeight="false" outlineLevel="0" collapsed="false">
      <c r="A7" s="12" t="s">
        <v>428</v>
      </c>
      <c r="B7" s="13" t="s">
        <v>473</v>
      </c>
      <c r="C7" s="12" t="s">
        <v>97</v>
      </c>
      <c r="D7" s="12" t="n">
        <v>45</v>
      </c>
      <c r="E7" s="12" t="s">
        <v>474</v>
      </c>
      <c r="F7" s="12" t="s">
        <v>475</v>
      </c>
      <c r="G7" s="12" t="s">
        <v>476</v>
      </c>
      <c r="H7" s="12" t="s">
        <v>477</v>
      </c>
      <c r="I7" s="12" t="s">
        <v>478</v>
      </c>
      <c r="J7" s="12" t="s">
        <v>479</v>
      </c>
      <c r="K7" s="12" t="s">
        <v>480</v>
      </c>
      <c r="L7" s="12" t="s">
        <v>481</v>
      </c>
      <c r="M7" s="14" t="s">
        <v>482</v>
      </c>
    </row>
    <row r="8" customFormat="false" ht="23.85" hidden="false" customHeight="false" outlineLevel="0" collapsed="false">
      <c r="A8" s="12" t="s">
        <v>428</v>
      </c>
      <c r="B8" s="13" t="s">
        <v>483</v>
      </c>
      <c r="C8" s="12" t="s">
        <v>484</v>
      </c>
      <c r="D8" s="12" t="n">
        <v>55</v>
      </c>
      <c r="E8" s="12" t="s">
        <v>485</v>
      </c>
      <c r="F8" s="12" t="s">
        <v>486</v>
      </c>
      <c r="G8" s="12" t="s">
        <v>487</v>
      </c>
      <c r="H8" s="12" t="s">
        <v>488</v>
      </c>
      <c r="I8" s="12" t="s">
        <v>489</v>
      </c>
      <c r="J8" s="12" t="s">
        <v>490</v>
      </c>
      <c r="K8" s="12" t="s">
        <v>491</v>
      </c>
      <c r="L8" s="12" t="s">
        <v>437</v>
      </c>
      <c r="M8" s="14" t="s">
        <v>492</v>
      </c>
    </row>
    <row r="9" customFormat="false" ht="23.85" hidden="false" customHeight="false" outlineLevel="0" collapsed="false">
      <c r="A9" s="12" t="s">
        <v>428</v>
      </c>
      <c r="B9" s="13" t="s">
        <v>110</v>
      </c>
      <c r="C9" s="12" t="s">
        <v>63</v>
      </c>
      <c r="D9" s="12" t="n">
        <v>70</v>
      </c>
      <c r="E9" s="12" t="s">
        <v>493</v>
      </c>
      <c r="F9" s="12" t="s">
        <v>494</v>
      </c>
      <c r="G9" s="12" t="s">
        <v>495</v>
      </c>
      <c r="H9" s="12" t="s">
        <v>113</v>
      </c>
      <c r="I9" s="12" t="s">
        <v>496</v>
      </c>
      <c r="J9" s="12" t="s">
        <v>497</v>
      </c>
      <c r="K9" s="12" t="s">
        <v>480</v>
      </c>
      <c r="L9" s="12" t="s">
        <v>498</v>
      </c>
      <c r="M9" s="14" t="s">
        <v>118</v>
      </c>
    </row>
    <row r="10" customFormat="false" ht="23.85" hidden="false" customHeight="false" outlineLevel="0" collapsed="false">
      <c r="A10" s="12" t="s">
        <v>428</v>
      </c>
      <c r="B10" s="13" t="s">
        <v>499</v>
      </c>
      <c r="C10" s="12" t="s">
        <v>154</v>
      </c>
      <c r="D10" s="12" t="n">
        <v>85</v>
      </c>
      <c r="E10" s="12" t="s">
        <v>497</v>
      </c>
      <c r="F10" s="12" t="s">
        <v>500</v>
      </c>
      <c r="G10" s="12" t="s">
        <v>501</v>
      </c>
      <c r="H10" s="12" t="s">
        <v>502</v>
      </c>
      <c r="I10" s="12" t="s">
        <v>489</v>
      </c>
      <c r="J10" s="12" t="s">
        <v>503</v>
      </c>
      <c r="K10" s="12" t="s">
        <v>504</v>
      </c>
      <c r="L10" s="12" t="s">
        <v>505</v>
      </c>
      <c r="M10" s="14" t="s">
        <v>506</v>
      </c>
    </row>
    <row r="11" customFormat="false" ht="23.85" hidden="false" customHeight="false" outlineLevel="0" collapsed="false">
      <c r="A11" s="12" t="s">
        <v>428</v>
      </c>
      <c r="B11" s="13" t="s">
        <v>507</v>
      </c>
      <c r="C11" s="12" t="s">
        <v>154</v>
      </c>
      <c r="D11" s="12" t="n">
        <v>85</v>
      </c>
      <c r="E11" s="12" t="s">
        <v>508</v>
      </c>
      <c r="F11" s="12" t="s">
        <v>509</v>
      </c>
      <c r="G11" s="12" t="s">
        <v>510</v>
      </c>
      <c r="H11" s="12" t="s">
        <v>511</v>
      </c>
      <c r="I11" s="12" t="s">
        <v>512</v>
      </c>
      <c r="J11" s="12" t="s">
        <v>513</v>
      </c>
      <c r="K11" s="12" t="s">
        <v>514</v>
      </c>
      <c r="L11" s="12" t="s">
        <v>515</v>
      </c>
      <c r="M11" s="14" t="s">
        <v>516</v>
      </c>
    </row>
    <row r="12" customFormat="false" ht="23.85" hidden="false" customHeight="false" outlineLevel="0" collapsed="false">
      <c r="A12" s="12" t="s">
        <v>428</v>
      </c>
      <c r="B12" s="13" t="s">
        <v>517</v>
      </c>
      <c r="C12" s="12" t="s">
        <v>179</v>
      </c>
      <c r="D12" s="12" t="n">
        <v>95</v>
      </c>
      <c r="E12" s="12" t="s">
        <v>518</v>
      </c>
      <c r="F12" s="12" t="s">
        <v>519</v>
      </c>
      <c r="G12" s="12" t="s">
        <v>520</v>
      </c>
      <c r="H12" s="12" t="s">
        <v>190</v>
      </c>
      <c r="I12" s="12" t="s">
        <v>521</v>
      </c>
      <c r="J12" s="12" t="s">
        <v>522</v>
      </c>
      <c r="K12" s="12" t="s">
        <v>523</v>
      </c>
      <c r="L12" s="12" t="s">
        <v>524</v>
      </c>
      <c r="M12" s="14" t="s">
        <v>193</v>
      </c>
    </row>
    <row r="13" customFormat="false" ht="23.85" hidden="false" customHeight="false" outlineLevel="0" collapsed="false">
      <c r="A13" s="12" t="s">
        <v>428</v>
      </c>
      <c r="B13" s="13" t="s">
        <v>525</v>
      </c>
      <c r="C13" s="12" t="s">
        <v>414</v>
      </c>
      <c r="D13" s="12" t="n">
        <v>105</v>
      </c>
      <c r="E13" s="12" t="s">
        <v>526</v>
      </c>
      <c r="F13" s="12" t="s">
        <v>527</v>
      </c>
      <c r="G13" s="12" t="s">
        <v>528</v>
      </c>
      <c r="H13" s="12" t="s">
        <v>529</v>
      </c>
      <c r="I13" s="12" t="s">
        <v>530</v>
      </c>
      <c r="J13" s="12" t="s">
        <v>531</v>
      </c>
      <c r="K13" s="12" t="s">
        <v>532</v>
      </c>
      <c r="L13" s="12" t="s">
        <v>533</v>
      </c>
      <c r="M13" s="14" t="s">
        <v>534</v>
      </c>
    </row>
    <row r="14" customFormat="false" ht="35.05" hidden="false" customHeight="false" outlineLevel="0" collapsed="false">
      <c r="A14" s="20" t="s">
        <v>535</v>
      </c>
      <c r="B14" s="13" t="s">
        <v>536</v>
      </c>
      <c r="C14" s="12" t="s">
        <v>537</v>
      </c>
      <c r="D14" s="12" t="n">
        <v>110</v>
      </c>
      <c r="E14" s="12" t="s">
        <v>538</v>
      </c>
      <c r="F14" s="12" t="s">
        <v>539</v>
      </c>
      <c r="G14" s="12" t="s">
        <v>540</v>
      </c>
      <c r="H14" s="12" t="s">
        <v>541</v>
      </c>
      <c r="I14" s="12" t="s">
        <v>542</v>
      </c>
      <c r="J14" s="12" t="s">
        <v>543</v>
      </c>
      <c r="K14" s="12" t="s">
        <v>544</v>
      </c>
      <c r="L14" s="12" t="s">
        <v>437</v>
      </c>
      <c r="M14" s="14" t="s">
        <v>545</v>
      </c>
    </row>
    <row r="15" customFormat="false" ht="23.85" hidden="false" customHeight="false" outlineLevel="0" collapsed="false">
      <c r="A15" s="20" t="s">
        <v>535</v>
      </c>
      <c r="B15" s="13" t="s">
        <v>546</v>
      </c>
      <c r="C15" s="12" t="s">
        <v>547</v>
      </c>
      <c r="D15" s="12" t="n">
        <v>130</v>
      </c>
      <c r="E15" s="12" t="s">
        <v>548</v>
      </c>
      <c r="F15" s="12" t="s">
        <v>549</v>
      </c>
      <c r="G15" s="12" t="s">
        <v>550</v>
      </c>
      <c r="H15" s="12" t="s">
        <v>551</v>
      </c>
      <c r="I15" s="12" t="s">
        <v>552</v>
      </c>
      <c r="J15" s="12" t="s">
        <v>553</v>
      </c>
      <c r="K15" s="12" t="s">
        <v>554</v>
      </c>
      <c r="L15" s="12" t="s">
        <v>480</v>
      </c>
      <c r="M15" s="14" t="s">
        <v>555</v>
      </c>
    </row>
    <row r="16" customFormat="false" ht="23.85" hidden="false" customHeight="false" outlineLevel="0" collapsed="false">
      <c r="A16" s="20" t="s">
        <v>535</v>
      </c>
      <c r="B16" s="13" t="s">
        <v>556</v>
      </c>
      <c r="C16" s="12" t="s">
        <v>557</v>
      </c>
      <c r="D16" s="12" t="n">
        <v>130</v>
      </c>
      <c r="E16" s="12" t="s">
        <v>558</v>
      </c>
      <c r="F16" s="12" t="s">
        <v>559</v>
      </c>
      <c r="G16" s="12" t="s">
        <v>560</v>
      </c>
      <c r="H16" s="12" t="s">
        <v>561</v>
      </c>
      <c r="I16" s="12" t="s">
        <v>542</v>
      </c>
      <c r="J16" s="12" t="s">
        <v>562</v>
      </c>
      <c r="K16" s="12" t="s">
        <v>480</v>
      </c>
      <c r="L16" s="12" t="s">
        <v>480</v>
      </c>
      <c r="M16" s="14" t="s">
        <v>563</v>
      </c>
    </row>
    <row r="17" customFormat="false" ht="23.85" hidden="false" customHeight="false" outlineLevel="0" collapsed="false">
      <c r="A17" s="20" t="s">
        <v>535</v>
      </c>
      <c r="B17" s="13" t="s">
        <v>564</v>
      </c>
      <c r="C17" s="12" t="s">
        <v>565</v>
      </c>
      <c r="D17" s="12" t="n">
        <v>140</v>
      </c>
      <c r="E17" s="12" t="s">
        <v>566</v>
      </c>
      <c r="F17" s="12" t="s">
        <v>567</v>
      </c>
      <c r="G17" s="12" t="s">
        <v>568</v>
      </c>
      <c r="H17" s="12" t="s">
        <v>569</v>
      </c>
      <c r="I17" s="12" t="s">
        <v>570</v>
      </c>
      <c r="J17" s="12" t="s">
        <v>571</v>
      </c>
      <c r="K17" s="12" t="s">
        <v>572</v>
      </c>
      <c r="L17" s="12" t="s">
        <v>480</v>
      </c>
      <c r="M17" s="14" t="s">
        <v>573</v>
      </c>
    </row>
    <row r="18" customFormat="false" ht="23.85" hidden="false" customHeight="false" outlineLevel="0" collapsed="false">
      <c r="A18" s="20" t="s">
        <v>535</v>
      </c>
      <c r="B18" s="13" t="s">
        <v>574</v>
      </c>
      <c r="C18" s="12" t="s">
        <v>330</v>
      </c>
      <c r="D18" s="12" t="n">
        <v>95</v>
      </c>
      <c r="E18" s="12" t="s">
        <v>575</v>
      </c>
      <c r="F18" s="12" t="s">
        <v>576</v>
      </c>
      <c r="G18" s="12" t="s">
        <v>480</v>
      </c>
      <c r="H18" s="12" t="s">
        <v>577</v>
      </c>
      <c r="I18" s="12" t="s">
        <v>578</v>
      </c>
      <c r="J18" s="12" t="s">
        <v>579</v>
      </c>
      <c r="K18" s="12" t="s">
        <v>580</v>
      </c>
      <c r="L18" s="12" t="s">
        <v>581</v>
      </c>
      <c r="M18" s="12" t="s">
        <v>582</v>
      </c>
    </row>
  </sheetData>
  <autoFilter ref="A1:M18"/>
  <hyperlinks>
    <hyperlink ref="M2" r:id="rId1" display="https://www.alassia.com.br"/>
    <hyperlink ref="M4" r:id="rId2" display="https://bcsplasticos.com.br/"/>
    <hyperlink ref="M5" r:id="rId3" display="https://dsambiental.com.br/"/>
    <hyperlink ref="M6" r:id="rId4" display="https://ecopel.eco.br/servicos-002/"/>
    <hyperlink ref="M7" r:id="rId5" display="https://b2blue.com/detalhes-empresa/60654/moagem-plastico-pp-e-pead/sorocaba/sp/"/>
    <hyperlink ref="M8" r:id="rId6" display="https://www.flexambiental.eco.br/"/>
    <hyperlink ref="M9" r:id="rId7" display="https://megplast.com.br/"/>
    <hyperlink ref="M10" r:id="rId8" display="https://gedelplasticos.com.br/servicos/"/>
    <hyperlink ref="M11" r:id="rId9" display="https://plasticosbarrichello.com.br/"/>
    <hyperlink ref="M12" r:id="rId10" display="https://cbjreciclagem.com.br/"/>
    <hyperlink ref="M13" r:id="rId11" display="https://www.tombstonereciclagem.com.br/"/>
    <hyperlink ref="M14" r:id="rId12" display="https://nicoplasmoagem.com.br/"/>
    <hyperlink ref="M15" r:id="rId13" display="https://trevoreciclagem.com.br/moagem-e-lavagem/"/>
    <hyperlink ref="M16" r:id="rId14" display="https://plasticosp.com.br/"/>
    <hyperlink ref="M17" r:id="rId15" display="https://rfxreciclagem.com.b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583</v>
      </c>
    </row>
    <row r="3" customFormat="false" ht="15" hidden="false" customHeight="false" outlineLevel="0" collapsed="false">
      <c r="A3" s="21" t="s">
        <v>584</v>
      </c>
    </row>
    <row r="4" customFormat="false" ht="15" hidden="false" customHeight="false" outlineLevel="0" collapsed="false">
      <c r="A4" s="3" t="s">
        <v>585</v>
      </c>
    </row>
    <row r="5" customFormat="false" ht="15" hidden="false" customHeight="false" outlineLevel="0" collapsed="false">
      <c r="A5" s="3" t="s">
        <v>586</v>
      </c>
    </row>
    <row r="6" customFormat="false" ht="15" hidden="false" customHeight="false" outlineLevel="0" collapsed="false">
      <c r="A6" s="3" t="s">
        <v>587</v>
      </c>
    </row>
    <row r="7" customFormat="false" ht="15" hidden="false" customHeight="false" outlineLevel="0" collapsed="false">
      <c r="A7" s="3" t="s">
        <v>588</v>
      </c>
    </row>
    <row r="8" customFormat="false" ht="15" hidden="false" customHeight="false" outlineLevel="0" collapsed="false">
      <c r="A8" s="3" t="s">
        <v>589</v>
      </c>
    </row>
    <row r="10" customFormat="false" ht="15" hidden="false" customHeight="false" outlineLevel="0" collapsed="false">
      <c r="A10" s="21" t="s">
        <v>590</v>
      </c>
    </row>
    <row r="11" customFormat="false" ht="15" hidden="false" customHeight="false" outlineLevel="0" collapsed="false">
      <c r="A11" s="3" t="s">
        <v>591</v>
      </c>
    </row>
    <row r="12" customFormat="false" ht="23.85" hidden="false" customHeight="false" outlineLevel="0" collapsed="false">
      <c r="A12" s="3" t="s">
        <v>592</v>
      </c>
    </row>
    <row r="13" customFormat="false" ht="15" hidden="false" customHeight="false" outlineLevel="0" collapsed="false">
      <c r="A13" s="3" t="s">
        <v>593</v>
      </c>
    </row>
    <row r="14" customFormat="false" ht="15" hidden="false" customHeight="false" outlineLevel="0" collapsed="false">
      <c r="A14" s="3" t="s">
        <v>594</v>
      </c>
    </row>
    <row r="15" customFormat="false" ht="15" hidden="false" customHeight="false" outlineLevel="0" collapsed="false">
      <c r="A15" s="3" t="s">
        <v>595</v>
      </c>
    </row>
    <row r="16" customFormat="false" ht="23.85" hidden="false" customHeight="false" outlineLevel="0" collapsed="false">
      <c r="A16" s="3" t="s">
        <v>596</v>
      </c>
    </row>
    <row r="17" customFormat="false" ht="15" hidden="false" customHeight="false" outlineLevel="0" collapsed="false">
      <c r="A17" s="3" t="s">
        <v>597</v>
      </c>
    </row>
    <row r="19" customFormat="false" ht="15" hidden="false" customHeight="false" outlineLevel="0" collapsed="false">
      <c r="A19" s="21" t="s">
        <v>598</v>
      </c>
    </row>
    <row r="20" customFormat="false" ht="15" hidden="false" customHeight="false" outlineLevel="0" collapsed="false">
      <c r="A20" s="3" t="s">
        <v>599</v>
      </c>
    </row>
    <row r="21" customFormat="false" ht="15" hidden="false" customHeight="false" outlineLevel="0" collapsed="false">
      <c r="A21" s="3" t="s">
        <v>600</v>
      </c>
    </row>
    <row r="22" customFormat="false" ht="15" hidden="false" customHeight="false" outlineLevel="0" collapsed="false">
      <c r="A22" s="3" t="s">
        <v>601</v>
      </c>
    </row>
    <row r="23" customFormat="false" ht="15" hidden="false" customHeight="false" outlineLevel="0" collapsed="false">
      <c r="A23" s="3" t="s">
        <v>602</v>
      </c>
    </row>
    <row r="25" customFormat="false" ht="15" hidden="false" customHeight="false" outlineLevel="0" collapsed="false">
      <c r="A25" s="21" t="s">
        <v>603</v>
      </c>
    </row>
    <row r="26" customFormat="false" ht="15" hidden="false" customHeight="false" outlineLevel="0" collapsed="false">
      <c r="A26" s="3" t="s">
        <v>604</v>
      </c>
    </row>
    <row r="27" customFormat="false" ht="15" hidden="false" customHeight="false" outlineLevel="0" collapsed="false">
      <c r="A27" s="3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606</v>
      </c>
    </row>
    <row r="3" customFormat="false" ht="15" hidden="false" customHeight="false" outlineLevel="0" collapsed="false">
      <c r="A3" s="21" t="s">
        <v>607</v>
      </c>
    </row>
    <row r="4" customFormat="false" ht="15" hidden="false" customHeight="false" outlineLevel="0" collapsed="false">
      <c r="A4" s="3" t="s">
        <v>608</v>
      </c>
    </row>
    <row r="5" customFormat="false" ht="15" hidden="false" customHeight="false" outlineLevel="0" collapsed="false">
      <c r="A5" s="3" t="s">
        <v>609</v>
      </c>
    </row>
    <row r="6" customFormat="false" ht="15" hidden="false" customHeight="false" outlineLevel="0" collapsed="false">
      <c r="A6" s="3" t="s">
        <v>610</v>
      </c>
    </row>
    <row r="8" customFormat="false" ht="15" hidden="false" customHeight="false" outlineLevel="0" collapsed="false">
      <c r="A8" s="21" t="s">
        <v>611</v>
      </c>
    </row>
    <row r="9" customFormat="false" ht="15" hidden="false" customHeight="false" outlineLevel="0" collapsed="false">
      <c r="A9" s="3" t="s">
        <v>612</v>
      </c>
    </row>
    <row r="10" customFormat="false" ht="15" hidden="false" customHeight="false" outlineLevel="0" collapsed="false">
      <c r="A10" s="3" t="s">
        <v>613</v>
      </c>
    </row>
    <row r="11" customFormat="false" ht="15" hidden="false" customHeight="false" outlineLevel="0" collapsed="false">
      <c r="A11" s="3" t="s">
        <v>614</v>
      </c>
    </row>
    <row r="12" customFormat="false" ht="15" hidden="false" customHeight="false" outlineLevel="0" collapsed="false">
      <c r="A12" s="3" t="s">
        <v>615</v>
      </c>
    </row>
    <row r="13" customFormat="false" ht="15" hidden="false" customHeight="false" outlineLevel="0" collapsed="false">
      <c r="A13" s="3" t="s">
        <v>616</v>
      </c>
    </row>
    <row r="14" customFormat="false" ht="15" hidden="false" customHeight="false" outlineLevel="0" collapsed="false">
      <c r="A14" s="3" t="s">
        <v>617</v>
      </c>
    </row>
    <row r="16" customFormat="false" ht="15" hidden="false" customHeight="false" outlineLevel="0" collapsed="false">
      <c r="A16" s="21" t="s">
        <v>618</v>
      </c>
    </row>
    <row r="17" customFormat="false" ht="15" hidden="false" customHeight="false" outlineLevel="0" collapsed="false">
      <c r="A17" s="3" t="s">
        <v>619</v>
      </c>
    </row>
    <row r="18" customFormat="false" ht="15" hidden="false" customHeight="false" outlineLevel="0" collapsed="false">
      <c r="A18" s="3" t="s">
        <v>620</v>
      </c>
    </row>
    <row r="19" customFormat="false" ht="15" hidden="false" customHeight="false" outlineLevel="0" collapsed="false">
      <c r="A19" s="3" t="s">
        <v>621</v>
      </c>
    </row>
    <row r="21" customFormat="false" ht="15" hidden="false" customHeight="false" outlineLevel="0" collapsed="false">
      <c r="A21" s="21" t="s">
        <v>622</v>
      </c>
    </row>
    <row r="22" customFormat="false" ht="15" hidden="false" customHeight="false" outlineLevel="0" collapsed="false">
      <c r="A22" s="3" t="s">
        <v>623</v>
      </c>
    </row>
    <row r="23" customFormat="false" ht="15" hidden="false" customHeight="false" outlineLevel="0" collapsed="false">
      <c r="A23" s="3" t="s">
        <v>624</v>
      </c>
    </row>
    <row r="25" customFormat="false" ht="15" hidden="false" customHeight="false" outlineLevel="0" collapsed="false">
      <c r="A25" s="21" t="s">
        <v>625</v>
      </c>
    </row>
    <row r="26" customFormat="false" ht="15" hidden="false" customHeight="false" outlineLevel="0" collapsed="false">
      <c r="A26" s="3" t="s">
        <v>626</v>
      </c>
    </row>
    <row r="27" customFormat="false" ht="15" hidden="false" customHeight="false" outlineLevel="0" collapsed="false">
      <c r="A27" s="3" t="s">
        <v>627</v>
      </c>
    </row>
    <row r="28" customFormat="false" ht="15" hidden="false" customHeight="false" outlineLevel="0" collapsed="false">
      <c r="A28" s="3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2026-10-18T17:30:15Z</dcterms:created>
  <dc:creator>openpyxl</dc:creator>
  <dc:description/>
  <dc:language>en-US</dc:language>
  <cp:lastModifiedBy/>
  <dcterms:modified xsi:type="dcterms:W3CDTF">2026-10-18T17:30:15Z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